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a90ee2fbf58f6d4/Publishing/For Upload/Data Sharing/"/>
    </mc:Choice>
  </mc:AlternateContent>
  <xr:revisionPtr revIDLastSave="12" documentId="13_ncr:1_{D14F4FE2-8245-4218-A3AC-698F89A2E8C4}" xr6:coauthVersionLast="47" xr6:coauthVersionMax="47" xr10:uidLastSave="{8EBCA940-B9BC-4A6D-873A-057EB21EDA75}"/>
  <bookViews>
    <workbookView xWindow="28680" yWindow="-120" windowWidth="29040" windowHeight="15720" activeTab="4" xr2:uid="{BD36BEAE-2C96-44CD-866C-61F9CDE18CE4}"/>
  </bookViews>
  <sheets>
    <sheet name="Overview" sheetId="6" r:id="rId1"/>
    <sheet name="No. Cases 15_09 - 31_12" sheetId="5" r:id="rId2"/>
    <sheet name="Fatalities by Age and Sex" sheetId="7" r:id="rId3"/>
    <sheet name="Fatalities - Parishes" sheetId="12" r:id="rId4"/>
    <sheet name="Populations - Parishes" sheetId="9" r:id="rId5"/>
    <sheet name="Populations - Neighbourhoods" sheetId="10" r:id="rId6"/>
    <sheet name="Fatalities - Occupation Groups" sheetId="13" r:id="rId7"/>
    <sheet name="Fatalities - Streets" sheetId="14" r:id="rId8"/>
    <sheet name="Temperature &amp; Precipitation" sheetId="16" r:id="rId9"/>
    <sheet name="YF Hospital Clinical Movement" sheetId="17" r:id="rId10"/>
    <sheet name="Vaccination Status" sheetId="18" r:id="rId11"/>
    <sheet name="Fatalities - Location and Sex" sheetId="19" r:id="rId12"/>
  </sheets>
  <definedNames>
    <definedName name="_xlnm._FilterDatabase" localSheetId="7" hidden="1">'Fatalities - Streets'!$B$5:$C$5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0" i="17" l="1"/>
  <c r="J10" i="17"/>
  <c r="I10" i="17"/>
  <c r="H10" i="17"/>
  <c r="F10" i="17"/>
  <c r="E10" i="17"/>
  <c r="D10" i="17"/>
  <c r="C10" i="17"/>
  <c r="O12" i="10"/>
  <c r="K14" i="10"/>
  <c r="G15" i="10"/>
  <c r="C20" i="10"/>
  <c r="D39" i="9"/>
  <c r="F39" i="9"/>
  <c r="G39" i="9"/>
  <c r="I39" i="9"/>
  <c r="J39" i="9"/>
  <c r="L39" i="9"/>
  <c r="M39" i="9"/>
  <c r="O39" i="9"/>
  <c r="P39" i="9"/>
  <c r="R39" i="9"/>
  <c r="S39" i="9"/>
  <c r="U39" i="9"/>
  <c r="V39" i="9"/>
  <c r="X39" i="9"/>
  <c r="Y39" i="9"/>
  <c r="C39" i="9"/>
  <c r="Z38" i="9"/>
  <c r="W38" i="9"/>
  <c r="T38" i="9"/>
  <c r="Q38" i="9"/>
  <c r="N38" i="9"/>
  <c r="K38" i="9"/>
  <c r="H38" i="9"/>
  <c r="E38" i="9"/>
  <c r="Z37" i="9"/>
  <c r="W37" i="9"/>
  <c r="T37" i="9"/>
  <c r="Q37" i="9"/>
  <c r="N37" i="9"/>
  <c r="K37" i="9"/>
  <c r="H37" i="9"/>
  <c r="E37" i="9"/>
  <c r="Z36" i="9"/>
  <c r="W36" i="9"/>
  <c r="T36" i="9"/>
  <c r="Q36" i="9"/>
  <c r="N36" i="9"/>
  <c r="K36" i="9"/>
  <c r="H36" i="9"/>
  <c r="E36" i="9"/>
  <c r="Z35" i="9"/>
  <c r="W35" i="9"/>
  <c r="T35" i="9"/>
  <c r="Q35" i="9"/>
  <c r="N35" i="9"/>
  <c r="K35" i="9"/>
  <c r="H35" i="9"/>
  <c r="E35" i="9"/>
  <c r="Z34" i="9"/>
  <c r="W34" i="9"/>
  <c r="T34" i="9"/>
  <c r="Q34" i="9"/>
  <c r="N34" i="9"/>
  <c r="K34" i="9"/>
  <c r="H34" i="9"/>
  <c r="E34" i="9"/>
  <c r="Z33" i="9"/>
  <c r="W33" i="9"/>
  <c r="T33" i="9"/>
  <c r="Q33" i="9"/>
  <c r="N33" i="9"/>
  <c r="K33" i="9"/>
  <c r="H33" i="9"/>
  <c r="E33" i="9"/>
  <c r="Z32" i="9"/>
  <c r="W32" i="9"/>
  <c r="T32" i="9"/>
  <c r="Q32" i="9"/>
  <c r="N32" i="9"/>
  <c r="K32" i="9"/>
  <c r="H32" i="9"/>
  <c r="E32" i="9"/>
  <c r="Z31" i="9"/>
  <c r="W31" i="9"/>
  <c r="T31" i="9"/>
  <c r="Q31" i="9"/>
  <c r="N31" i="9"/>
  <c r="K31" i="9"/>
  <c r="H31" i="9"/>
  <c r="E31" i="9"/>
  <c r="Z30" i="9"/>
  <c r="W30" i="9"/>
  <c r="T30" i="9"/>
  <c r="Q30" i="9"/>
  <c r="N30" i="9"/>
  <c r="K30" i="9"/>
  <c r="H30" i="9"/>
  <c r="E30" i="9"/>
  <c r="Z29" i="9"/>
  <c r="W29" i="9"/>
  <c r="T29" i="9"/>
  <c r="Q29" i="9"/>
  <c r="N29" i="9"/>
  <c r="K29" i="9"/>
  <c r="H29" i="9"/>
  <c r="E29" i="9"/>
  <c r="Z28" i="9"/>
  <c r="W28" i="9"/>
  <c r="T28" i="9"/>
  <c r="Q28" i="9"/>
  <c r="N28" i="9"/>
  <c r="K28" i="9"/>
  <c r="H28" i="9"/>
  <c r="E28" i="9"/>
  <c r="Z27" i="9"/>
  <c r="W27" i="9"/>
  <c r="T27" i="9"/>
  <c r="Q27" i="9"/>
  <c r="N27" i="9"/>
  <c r="K27" i="9"/>
  <c r="H27" i="9"/>
  <c r="E27" i="9"/>
  <c r="Z26" i="9"/>
  <c r="W26" i="9"/>
  <c r="T26" i="9"/>
  <c r="Q26" i="9"/>
  <c r="N26" i="9"/>
  <c r="K26" i="9"/>
  <c r="H26" i="9"/>
  <c r="E26" i="9"/>
  <c r="Z25" i="9"/>
  <c r="W25" i="9"/>
  <c r="T25" i="9"/>
  <c r="Q25" i="9"/>
  <c r="N25" i="9"/>
  <c r="K25" i="9"/>
  <c r="H25" i="9"/>
  <c r="E25" i="9"/>
  <c r="Z24" i="9"/>
  <c r="W24" i="9"/>
  <c r="T24" i="9"/>
  <c r="Q24" i="9"/>
  <c r="N24" i="9"/>
  <c r="K24" i="9"/>
  <c r="H24" i="9"/>
  <c r="E24" i="9"/>
  <c r="Z23" i="9"/>
  <c r="W23" i="9"/>
  <c r="T23" i="9"/>
  <c r="Q23" i="9"/>
  <c r="N23" i="9"/>
  <c r="K23" i="9"/>
  <c r="H23" i="9"/>
  <c r="E23" i="9"/>
  <c r="Z22" i="9"/>
  <c r="W22" i="9"/>
  <c r="T22" i="9"/>
  <c r="Q22" i="9"/>
  <c r="N22" i="9"/>
  <c r="K22" i="9"/>
  <c r="H22" i="9"/>
  <c r="E22" i="9"/>
  <c r="Z21" i="9"/>
  <c r="W21" i="9"/>
  <c r="T21" i="9"/>
  <c r="Q21" i="9"/>
  <c r="N21" i="9"/>
  <c r="K21" i="9"/>
  <c r="H21" i="9"/>
  <c r="E21" i="9"/>
  <c r="Z20" i="9"/>
  <c r="W20" i="9"/>
  <c r="T20" i="9"/>
  <c r="Q20" i="9"/>
  <c r="N20" i="9"/>
  <c r="K20" i="9"/>
  <c r="H20" i="9"/>
  <c r="E20" i="9"/>
  <c r="Z19" i="9"/>
  <c r="W19" i="9"/>
  <c r="T19" i="9"/>
  <c r="Q19" i="9"/>
  <c r="N19" i="9"/>
  <c r="K19" i="9"/>
  <c r="H19" i="9"/>
  <c r="E19" i="9"/>
  <c r="Z18" i="9"/>
  <c r="W18" i="9"/>
  <c r="T18" i="9"/>
  <c r="Q18" i="9"/>
  <c r="N18" i="9"/>
  <c r="K18" i="9"/>
  <c r="H18" i="9"/>
  <c r="E18" i="9"/>
  <c r="Z17" i="9"/>
  <c r="W17" i="9"/>
  <c r="T17" i="9"/>
  <c r="Q17" i="9"/>
  <c r="N17" i="9"/>
  <c r="K17" i="9"/>
  <c r="H17" i="9"/>
  <c r="E17" i="9"/>
  <c r="Z16" i="9"/>
  <c r="W16" i="9"/>
  <c r="T16" i="9"/>
  <c r="Q16" i="9"/>
  <c r="N16" i="9"/>
  <c r="K16" i="9"/>
  <c r="H16" i="9"/>
  <c r="E16" i="9"/>
  <c r="Z15" i="9"/>
  <c r="W15" i="9"/>
  <c r="T15" i="9"/>
  <c r="Q15" i="9"/>
  <c r="N15" i="9"/>
  <c r="K15" i="9"/>
  <c r="H15" i="9"/>
  <c r="E15" i="9"/>
  <c r="Z14" i="9"/>
  <c r="W14" i="9"/>
  <c r="T14" i="9"/>
  <c r="Q14" i="9"/>
  <c r="N14" i="9"/>
  <c r="K14" i="9"/>
  <c r="H14" i="9"/>
  <c r="E14" i="9"/>
  <c r="Z13" i="9"/>
  <c r="W13" i="9"/>
  <c r="T13" i="9"/>
  <c r="Q13" i="9"/>
  <c r="N13" i="9"/>
  <c r="K13" i="9"/>
  <c r="H13" i="9"/>
  <c r="E13" i="9"/>
  <c r="Z12" i="9"/>
  <c r="W12" i="9"/>
  <c r="T12" i="9"/>
  <c r="Q12" i="9"/>
  <c r="N12" i="9"/>
  <c r="K12" i="9"/>
  <c r="H12" i="9"/>
  <c r="E12" i="9"/>
  <c r="Z11" i="9"/>
  <c r="W11" i="9"/>
  <c r="T11" i="9"/>
  <c r="Q11" i="9"/>
  <c r="N11" i="9"/>
  <c r="K11" i="9"/>
  <c r="H11" i="9"/>
  <c r="E11" i="9"/>
  <c r="Z10" i="9"/>
  <c r="W10" i="9"/>
  <c r="T10" i="9"/>
  <c r="Q10" i="9"/>
  <c r="N10" i="9"/>
  <c r="K10" i="9"/>
  <c r="H10" i="9"/>
  <c r="E10" i="9"/>
  <c r="Z9" i="9"/>
  <c r="W9" i="9"/>
  <c r="T9" i="9"/>
  <c r="Q9" i="9"/>
  <c r="N9" i="9"/>
  <c r="K9" i="9"/>
  <c r="H9" i="9"/>
  <c r="E9" i="9"/>
  <c r="Z8" i="9"/>
  <c r="W8" i="9"/>
  <c r="T8" i="9"/>
  <c r="Q8" i="9"/>
  <c r="N8" i="9"/>
  <c r="K8" i="9"/>
  <c r="H8" i="9"/>
  <c r="E8" i="9"/>
  <c r="Z7" i="9"/>
  <c r="W7" i="9"/>
  <c r="T7" i="9"/>
  <c r="Q7" i="9"/>
  <c r="N7" i="9"/>
  <c r="K7" i="9"/>
  <c r="H7" i="9"/>
  <c r="E7" i="9"/>
  <c r="Z6" i="9"/>
  <c r="Z39" i="9" s="1"/>
  <c r="W6" i="9"/>
  <c r="T6" i="9"/>
  <c r="T39" i="9" s="1"/>
  <c r="Q6" i="9"/>
  <c r="Q39" i="9" s="1"/>
  <c r="N6" i="9"/>
  <c r="N39" i="9" s="1"/>
  <c r="K6" i="9"/>
  <c r="K39" i="9" s="1"/>
  <c r="H6" i="9"/>
  <c r="H39" i="9" s="1"/>
  <c r="E6" i="9"/>
  <c r="E39" i="9" s="1"/>
  <c r="W39" i="9" l="1"/>
</calcChain>
</file>

<file path=xl/sharedStrings.xml><?xml version="1.0" encoding="utf-8"?>
<sst xmlns="http://schemas.openxmlformats.org/spreadsheetml/2006/main" count="535" uniqueCount="277">
  <si>
    <t>September</t>
  </si>
  <si>
    <t>October</t>
  </si>
  <si>
    <t>November</t>
  </si>
  <si>
    <t>December</t>
  </si>
  <si>
    <t>Day of month</t>
  </si>
  <si>
    <t>Hospital admitted (cases)</t>
  </si>
  <si>
    <t>Home cases</t>
  </si>
  <si>
    <t>Total</t>
  </si>
  <si>
    <t>N/A</t>
  </si>
  <si>
    <t>1 to 10</t>
  </si>
  <si>
    <t>11 to 20</t>
  </si>
  <si>
    <t>21 to 30</t>
  </si>
  <si>
    <t>31 to 40</t>
  </si>
  <si>
    <t>41 to 50</t>
  </si>
  <si>
    <t>51 to 60</t>
  </si>
  <si>
    <t>60+</t>
  </si>
  <si>
    <t>Without age designation</t>
  </si>
  <si>
    <t>Total deaths</t>
  </si>
  <si>
    <t>Men</t>
  </si>
  <si>
    <t>Women</t>
  </si>
  <si>
    <t>Overview of Data Provided</t>
  </si>
  <si>
    <t>Data Overview</t>
  </si>
  <si>
    <t>Indicates alternating weeks</t>
  </si>
  <si>
    <t>1-7</t>
  </si>
  <si>
    <t>7-18</t>
  </si>
  <si>
    <t>18-25</t>
  </si>
  <si>
    <t>25-40</t>
  </si>
  <si>
    <t>40-60</t>
  </si>
  <si>
    <t>60-80</t>
  </si>
  <si>
    <t>80-100</t>
  </si>
  <si>
    <t>100+</t>
  </si>
  <si>
    <t>M</t>
  </si>
  <si>
    <t>F</t>
  </si>
  <si>
    <t>Anjos</t>
  </si>
  <si>
    <t>Santa Catharina</t>
  </si>
  <si>
    <t>S. Nicolau</t>
  </si>
  <si>
    <t>Magdalena</t>
  </si>
  <si>
    <t>S. Miguel</t>
  </si>
  <si>
    <t>Pena</t>
  </si>
  <si>
    <t>Santos</t>
  </si>
  <si>
    <t>Santa Isabel</t>
  </si>
  <si>
    <t>S. Paulo</t>
  </si>
  <si>
    <t>Sacramento</t>
  </si>
  <si>
    <t>Santa Engracia</t>
  </si>
  <si>
    <t>Martyres</t>
  </si>
  <si>
    <t>S. Thiago</t>
  </si>
  <si>
    <t>S. Mamede</t>
  </si>
  <si>
    <t>Lapa</t>
  </si>
  <si>
    <t>Santa Cruz do Castello</t>
  </si>
  <si>
    <t>S. Jorge</t>
  </si>
  <si>
    <t>Parish</t>
  </si>
  <si>
    <t>Totals</t>
  </si>
  <si>
    <t>Population by Parish, Age, and Sex</t>
  </si>
  <si>
    <t>Population by Neighbourhood, calculated using the data from 'Populations - Parishes'</t>
  </si>
  <si>
    <t>Alfama</t>
  </si>
  <si>
    <t>Populations</t>
  </si>
  <si>
    <t>Soccorro</t>
  </si>
  <si>
    <r>
      <t>Santo Estev</t>
    </r>
    <r>
      <rPr>
        <sz val="11"/>
        <color theme="1"/>
        <rFont val="Calibri"/>
        <family val="2"/>
      </rPr>
      <t>ão</t>
    </r>
  </si>
  <si>
    <r>
      <t>S. Thom</t>
    </r>
    <r>
      <rPr>
        <sz val="11"/>
        <color theme="1"/>
        <rFont val="Calibri"/>
        <family val="2"/>
      </rPr>
      <t>é e S. Vicente</t>
    </r>
  </si>
  <si>
    <r>
      <t>S. Jo</t>
    </r>
    <r>
      <rPr>
        <sz val="11"/>
        <color theme="1"/>
        <rFont val="Calibri"/>
        <family val="2"/>
      </rPr>
      <t>ão da Praça</t>
    </r>
  </si>
  <si>
    <r>
      <t>S. Christov</t>
    </r>
    <r>
      <rPr>
        <sz val="11"/>
        <color theme="1"/>
        <rFont val="Calibri"/>
        <family val="2"/>
      </rPr>
      <t>ão</t>
    </r>
  </si>
  <si>
    <r>
      <t>S. Louren</t>
    </r>
    <r>
      <rPr>
        <sz val="11"/>
        <color theme="1"/>
        <rFont val="Calibri"/>
        <family val="2"/>
      </rPr>
      <t>ço</t>
    </r>
  </si>
  <si>
    <r>
      <t>Santo Andr</t>
    </r>
    <r>
      <rPr>
        <sz val="11"/>
        <color theme="1"/>
        <rFont val="Calibri"/>
        <family val="2"/>
      </rPr>
      <t xml:space="preserve">é e Santa Marinha </t>
    </r>
  </si>
  <si>
    <t>Rocio</t>
  </si>
  <si>
    <r>
      <t>S</t>
    </r>
    <r>
      <rPr>
        <sz val="11"/>
        <color theme="1"/>
        <rFont val="Calibri"/>
        <family val="2"/>
      </rPr>
      <t>é</t>
    </r>
  </si>
  <si>
    <t>Santa Justa</t>
  </si>
  <si>
    <r>
      <t>S. Juli</t>
    </r>
    <r>
      <rPr>
        <sz val="11"/>
        <color theme="1"/>
        <rFont val="Calibri"/>
        <family val="2"/>
      </rPr>
      <t>ão</t>
    </r>
  </si>
  <si>
    <r>
      <t>Concei</t>
    </r>
    <r>
      <rPr>
        <sz val="11"/>
        <color theme="1"/>
        <rFont val="Calibri"/>
        <family val="2"/>
      </rPr>
      <t>ção Nova</t>
    </r>
  </si>
  <si>
    <r>
      <t>S. Jos</t>
    </r>
    <r>
      <rPr>
        <sz val="11"/>
        <color theme="1"/>
        <rFont val="Calibri"/>
        <family val="2"/>
      </rPr>
      <t>é</t>
    </r>
  </si>
  <si>
    <t>Bairro Alto</t>
  </si>
  <si>
    <r>
      <t>Merc</t>
    </r>
    <r>
      <rPr>
        <sz val="11"/>
        <color theme="1"/>
        <rFont val="Calibri"/>
        <family val="2"/>
      </rPr>
      <t>ês</t>
    </r>
  </si>
  <si>
    <r>
      <t>Encarna</t>
    </r>
    <r>
      <rPr>
        <sz val="11"/>
        <color theme="1"/>
        <rFont val="Calibri"/>
        <family val="2"/>
      </rPr>
      <t>ção</t>
    </r>
  </si>
  <si>
    <r>
      <t>Cora</t>
    </r>
    <r>
      <rPr>
        <sz val="11"/>
        <color theme="1"/>
        <rFont val="Calibri"/>
        <family val="2"/>
      </rPr>
      <t>ção de Jesus</t>
    </r>
  </si>
  <si>
    <r>
      <t>S. Sebasti</t>
    </r>
    <r>
      <rPr>
        <sz val="11"/>
        <color theme="1"/>
        <rFont val="Calibri"/>
        <family val="2"/>
      </rPr>
      <t>ão da Pedreira</t>
    </r>
  </si>
  <si>
    <t>Alcantara</t>
  </si>
  <si>
    <t>Parishes</t>
  </si>
  <si>
    <t>Home Deaths</t>
  </si>
  <si>
    <t>Hospital Deaths</t>
  </si>
  <si>
    <t>Tab</t>
  </si>
  <si>
    <t>Deaths at Home by Age and Sex</t>
  </si>
  <si>
    <t>Deaths at Hospital by Age and Sex</t>
  </si>
  <si>
    <t>Number of cases at Home and admitted to Hospital, 15th September - 31st December</t>
  </si>
  <si>
    <r>
      <t xml:space="preserve"> - </t>
    </r>
    <r>
      <rPr>
        <b/>
        <sz val="11"/>
        <color theme="1"/>
        <rFont val="Calibri"/>
        <family val="2"/>
        <scheme val="minor"/>
      </rPr>
      <t xml:space="preserve">Tab: </t>
    </r>
    <r>
      <rPr>
        <sz val="11"/>
        <color theme="1"/>
        <rFont val="Calibri"/>
        <family val="2"/>
        <scheme val="minor"/>
      </rPr>
      <t xml:space="preserve">Populations - Parishes
 - </t>
    </r>
    <r>
      <rPr>
        <b/>
        <sz val="11"/>
        <color theme="1"/>
        <rFont val="Calibri"/>
        <family val="2"/>
        <scheme val="minor"/>
      </rPr>
      <t xml:space="preserve">Information on Data: </t>
    </r>
    <r>
      <rPr>
        <sz val="11"/>
        <color theme="1"/>
        <rFont val="Calibri"/>
        <family val="2"/>
        <scheme val="minor"/>
      </rPr>
      <t xml:space="preserve">Lisbon population as recorded by the 1849 census, divided by sex, age groups, and parishes. Used to calculate mortality rates, informing Figures 2A, 2B, 4A, and 4B. Data was grouped into neighbourhoods to produce neighbourhood population data, 'Populations - Neighbourhoods'.
 - </t>
    </r>
    <r>
      <rPr>
        <b/>
        <sz val="11"/>
        <color theme="1"/>
        <rFont val="Calibri"/>
        <family val="2"/>
        <scheme val="minor"/>
      </rPr>
      <t xml:space="preserve">Data Source: </t>
    </r>
    <r>
      <rPr>
        <sz val="11"/>
        <color theme="1"/>
        <rFont val="Calibri"/>
        <family val="2"/>
        <scheme val="minor"/>
      </rPr>
      <t xml:space="preserve">Silveira (2001), pages 798 - 803, crossreferenced with pages 740 - 742 --&gt; Silveira, L. N. E. d., (2001). Os Recenseamentos da Populacão Portuguesa de 1801 e 1849. Instituto Nacional de Estatística. 3. </t>
    </r>
  </si>
  <si>
    <r>
      <t xml:space="preserve"> - </t>
    </r>
    <r>
      <rPr>
        <b/>
        <sz val="11"/>
        <color theme="1"/>
        <rFont val="Calibri"/>
        <family val="2"/>
        <scheme val="minor"/>
      </rPr>
      <t xml:space="preserve">Tab: </t>
    </r>
    <r>
      <rPr>
        <sz val="11"/>
        <color theme="1"/>
        <rFont val="Calibri"/>
        <family val="2"/>
        <scheme val="minor"/>
      </rPr>
      <t xml:space="preserve">Populations - Neighbourhoods
 - </t>
    </r>
    <r>
      <rPr>
        <b/>
        <sz val="11"/>
        <color theme="1"/>
        <rFont val="Calibri"/>
        <family val="2"/>
        <scheme val="minor"/>
      </rPr>
      <t xml:space="preserve">Information on Data: </t>
    </r>
    <r>
      <rPr>
        <sz val="11"/>
        <color theme="1"/>
        <rFont val="Calibri"/>
        <family val="2"/>
        <scheme val="minor"/>
      </rPr>
      <t xml:space="preserve">Lisbon population as recorded by the 1849 census. Used to calculate mortality rates. Parish data was grouped into neighbourhoods to produce neighbourhood population data.
 - </t>
    </r>
    <r>
      <rPr>
        <b/>
        <sz val="11"/>
        <color theme="1"/>
        <rFont val="Calibri"/>
        <family val="2"/>
        <scheme val="minor"/>
      </rPr>
      <t xml:space="preserve">Data Source: </t>
    </r>
    <r>
      <rPr>
        <sz val="11"/>
        <color theme="1"/>
        <rFont val="Calibri"/>
        <family val="2"/>
        <scheme val="minor"/>
      </rPr>
      <t xml:space="preserve">Silveira (2001), pages 798 - 803, crossreferenced with pages 740 - 742 --&gt; Silveira, L. N. E. d., (2001). Os Recenseamentos da Populacão Portuguesa de 1801 e 1849. Instituto Nacional de Estatística. 3. </t>
    </r>
  </si>
  <si>
    <t>Profession Group</t>
  </si>
  <si>
    <t xml:space="preserve">Men </t>
  </si>
  <si>
    <t>Agriculture</t>
  </si>
  <si>
    <t>Industrial</t>
  </si>
  <si>
    <t>Commercial</t>
  </si>
  <si>
    <t>Professional ('Liberal')</t>
  </si>
  <si>
    <t>Military</t>
  </si>
  <si>
    <t>Maritime</t>
  </si>
  <si>
    <t>Domestic</t>
  </si>
  <si>
    <t>Civil Hospital Deaths</t>
  </si>
  <si>
    <t>Fatalities at Home and Hospital, by Sex and Occupation Group, as devised by the Health Council (1859)</t>
  </si>
  <si>
    <r>
      <t xml:space="preserve"> - </t>
    </r>
    <r>
      <rPr>
        <b/>
        <sz val="11"/>
        <color theme="1"/>
        <rFont val="Calibri"/>
        <family val="2"/>
        <scheme val="minor"/>
      </rPr>
      <t>Tab:</t>
    </r>
    <r>
      <rPr>
        <sz val="11"/>
        <color theme="1"/>
        <rFont val="Calibri"/>
        <family val="2"/>
        <scheme val="minor"/>
      </rPr>
      <t xml:space="preserve"> Fatalities - Occupation Groups
 - </t>
    </r>
    <r>
      <rPr>
        <b/>
        <sz val="11"/>
        <color theme="1"/>
        <rFont val="Calibri"/>
        <family val="2"/>
        <scheme val="minor"/>
      </rPr>
      <t xml:space="preserve">Information on Data: </t>
    </r>
    <r>
      <rPr>
        <sz val="11"/>
        <color theme="1"/>
        <rFont val="Calibri"/>
        <family val="2"/>
        <scheme val="minor"/>
      </rPr>
      <t xml:space="preserve">The table provided combines two tables from the historic Health Council (1859) report. The table details fatalities split by Sex and Occupation Groups. Data used to create Figure 3.
 - </t>
    </r>
    <r>
      <rPr>
        <b/>
        <sz val="11"/>
        <color theme="1"/>
        <rFont val="Calibri"/>
        <family val="2"/>
        <scheme val="minor"/>
      </rPr>
      <t xml:space="preserve">Data Source: </t>
    </r>
    <r>
      <rPr>
        <sz val="11"/>
        <color theme="1"/>
        <rFont val="Calibri"/>
        <family val="2"/>
        <scheme val="minor"/>
      </rPr>
      <t xml:space="preserve">Healh Council (1859), pages 75 &amp; 99 --&gt;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Home fatalities by sex and occupation group: </t>
    </r>
    <r>
      <rPr>
        <sz val="11"/>
        <color theme="1"/>
        <rFont val="Calibri"/>
        <family val="2"/>
        <scheme val="minor"/>
      </rPr>
      <t>Mappa No. 9 - Profiss</t>
    </r>
    <r>
      <rPr>
        <sz val="11"/>
        <color theme="1"/>
        <rFont val="Calibri"/>
        <family val="2"/>
      </rPr>
      <t>ões dos individuos fallecidos de febre amarella, em domicilios, com designa</t>
    </r>
    <r>
      <rPr>
        <sz val="11"/>
        <color theme="1"/>
        <rFont val="Aptos Narrow"/>
        <family val="2"/>
      </rPr>
      <t>çã</t>
    </r>
    <r>
      <rPr>
        <sz val="11"/>
        <color theme="1"/>
        <rFont val="Calibri"/>
        <family val="2"/>
      </rPr>
      <t xml:space="preserve">0 dos sexos; resumo do mappa antecedente.
</t>
    </r>
    <r>
      <rPr>
        <b/>
        <sz val="11"/>
        <color theme="1"/>
        <rFont val="Calibri"/>
        <family val="2"/>
      </rPr>
      <t xml:space="preserve">Hospital fatalities by sex and occupation group: </t>
    </r>
    <r>
      <rPr>
        <sz val="11"/>
        <color theme="1"/>
        <rFont val="Calibri"/>
        <family val="2"/>
      </rPr>
      <t>Mappa No. 21 - Frequencia, curabilidade e mortalidade de febre amarella nos hospitaes civis, em rela</t>
    </r>
    <r>
      <rPr>
        <sz val="11"/>
        <color theme="1"/>
        <rFont val="Aptos Narrow"/>
        <family val="2"/>
      </rPr>
      <t xml:space="preserve">ção </t>
    </r>
    <r>
      <rPr>
        <sz val="11"/>
        <color theme="1"/>
        <rFont val="Calibri"/>
        <family val="2"/>
      </rPr>
      <t>á</t>
    </r>
    <r>
      <rPr>
        <sz val="11"/>
        <color theme="1"/>
        <rFont val="Aptos Narrow"/>
        <family val="2"/>
      </rPr>
      <t>s profissões, com designação dos sexos, resumo do antecedente.</t>
    </r>
    <r>
      <rPr>
        <sz val="11"/>
        <color theme="1"/>
        <rFont val="Calibri"/>
        <family val="2"/>
        <scheme val="minor"/>
      </rPr>
      <t xml:space="preserve">
 - </t>
    </r>
    <r>
      <rPr>
        <b/>
        <sz val="11"/>
        <color theme="1"/>
        <rFont val="Calibri"/>
        <family val="2"/>
        <scheme val="minor"/>
      </rPr>
      <t>Table Reference in Source (Translated to English): 
Home fatalities by sex and occupation group:</t>
    </r>
    <r>
      <rPr>
        <sz val="11"/>
        <color theme="1"/>
        <rFont val="Calibri"/>
        <family val="2"/>
        <scheme val="minor"/>
      </rPr>
      <t xml:space="preserve"> Occupations of individuals deceased from yellow fever, at home, with designation of sexes; summary of the preceding map.
</t>
    </r>
    <r>
      <rPr>
        <b/>
        <sz val="11"/>
        <color theme="1"/>
        <rFont val="Calibri"/>
        <family val="2"/>
        <scheme val="minor"/>
      </rPr>
      <t xml:space="preserve">Hospital fatalities by sex and occupation group: </t>
    </r>
    <r>
      <rPr>
        <sz val="11"/>
        <color theme="1"/>
        <rFont val="Calibri"/>
        <family val="2"/>
        <scheme val="minor"/>
      </rPr>
      <t>Frequency, curability and mortality of yellow fever in civil hospitals, in relation to occupations, with designation of sexes, summary of the background.</t>
    </r>
  </si>
  <si>
    <r>
      <t xml:space="preserve"> - </t>
    </r>
    <r>
      <rPr>
        <b/>
        <sz val="11"/>
        <color theme="1"/>
        <rFont val="Calibri"/>
        <family val="2"/>
        <scheme val="minor"/>
      </rPr>
      <t>Tab:</t>
    </r>
    <r>
      <rPr>
        <sz val="11"/>
        <color theme="1"/>
        <rFont val="Calibri"/>
        <family val="2"/>
        <scheme val="minor"/>
      </rPr>
      <t xml:space="preserve"> Fatalities - Parishes
 - </t>
    </r>
    <r>
      <rPr>
        <b/>
        <sz val="11"/>
        <color theme="1"/>
        <rFont val="Calibri"/>
        <family val="2"/>
        <scheme val="minor"/>
      </rPr>
      <t xml:space="preserve">Information on Data: </t>
    </r>
    <r>
      <rPr>
        <sz val="11"/>
        <color theme="1"/>
        <rFont val="Calibri"/>
        <family val="2"/>
        <scheme val="minor"/>
      </rPr>
      <t xml:space="preserve">Number of fatalities at home and at hospital, by parish. Those who died in the parish of S. Pedro in Alcantara are included in the total of the parish of Lapa.
</t>
    </r>
    <r>
      <rPr>
        <b/>
        <sz val="11"/>
        <color theme="1"/>
        <rFont val="Calibri"/>
        <family val="2"/>
        <scheme val="minor"/>
      </rPr>
      <t>Used to inform results of Figures 4A, 4B, and 4C. The fatalities for each parish were assigned to their associated neighbourhood to inform the result of Figure 2B.</t>
    </r>
    <r>
      <rPr>
        <sz val="11"/>
        <color theme="1"/>
        <rFont val="Calibri"/>
        <family val="2"/>
        <scheme val="minor"/>
      </rPr>
      <t xml:space="preserve">
 - </t>
    </r>
    <r>
      <rPr>
        <b/>
        <sz val="11"/>
        <color theme="1"/>
        <rFont val="Calibri"/>
        <family val="2"/>
        <scheme val="minor"/>
      </rPr>
      <t xml:space="preserve">Data Source: </t>
    </r>
    <r>
      <rPr>
        <sz val="11"/>
        <color theme="1"/>
        <rFont val="Calibri"/>
        <family val="2"/>
        <scheme val="minor"/>
      </rPr>
      <t xml:space="preserve">Healh Council (1859), page 117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t>
    </r>
    <r>
      <rPr>
        <sz val="11"/>
        <color theme="1"/>
        <rFont val="Calibri"/>
        <family val="2"/>
        <scheme val="minor"/>
      </rPr>
      <t xml:space="preserve">Mappa No. 34 - Numero de fallecidos de febre amarella tanto nos domicilios como nos hospitaes civis especiaes que pertence a cada uma das freguezias da capital, sendo estas collocadas pela orderm da maior mortalidade.
 - </t>
    </r>
    <r>
      <rPr>
        <b/>
        <sz val="11"/>
        <color theme="1"/>
        <rFont val="Calibri"/>
        <family val="2"/>
        <scheme val="minor"/>
      </rPr>
      <t xml:space="preserve">Table Reference in Source (Translated to English): </t>
    </r>
    <r>
      <rPr>
        <sz val="11"/>
        <color theme="1"/>
        <rFont val="Calibri"/>
        <family val="2"/>
        <scheme val="minor"/>
      </rPr>
      <t>Number of deaths from yellow fever both at home and in special civil hospitals belonging to each of the parishes of the capital, arranged in order of highest mortality.</t>
    </r>
  </si>
  <si>
    <r>
      <rPr>
        <b/>
        <sz val="11"/>
        <color theme="1"/>
        <rFont val="Calibri"/>
        <family val="2"/>
        <scheme val="minor"/>
      </rPr>
      <t xml:space="preserve"> - Tab:</t>
    </r>
    <r>
      <rPr>
        <sz val="11"/>
        <color theme="1"/>
        <rFont val="Calibri"/>
        <family val="2"/>
        <scheme val="minor"/>
      </rPr>
      <t xml:space="preserve"> No. Cases 15_09 - 31_12
 - </t>
    </r>
    <r>
      <rPr>
        <b/>
        <sz val="11"/>
        <color theme="1"/>
        <rFont val="Calibri"/>
        <family val="2"/>
        <scheme val="minor"/>
      </rPr>
      <t>Information on Data:</t>
    </r>
    <r>
      <rPr>
        <sz val="11"/>
        <color theme="1"/>
        <rFont val="Calibri"/>
        <family val="2"/>
        <scheme val="minor"/>
      </rPr>
      <t xml:space="preserve"> Daily number of cases of infection at home and at hospital, from September 15th to December 31st.
</t>
    </r>
    <r>
      <rPr>
        <b/>
        <sz val="11"/>
        <color theme="1"/>
        <rFont val="Calibri"/>
        <family val="2"/>
        <scheme val="minor"/>
      </rPr>
      <t xml:space="preserve"> - Data Source:</t>
    </r>
    <r>
      <rPr>
        <sz val="11"/>
        <color theme="1"/>
        <rFont val="Calibri"/>
        <family val="2"/>
        <scheme val="minor"/>
      </rPr>
      <t xml:space="preserve"> Healh Council (1859), Pages 52 &amp; 53 --&gt; Health Council, (1859). Report on the yellow fever epidemic in Lisbon in the year of 1857. Extraordinary Public Health Council of the Kingdom.
</t>
    </r>
    <r>
      <rPr>
        <b/>
        <sz val="11"/>
        <color theme="1"/>
        <rFont val="Calibri"/>
        <family val="2"/>
        <scheme val="minor"/>
      </rPr>
      <t xml:space="preserve"> - Table Reference in Source (Portuguese): </t>
    </r>
    <r>
      <rPr>
        <sz val="11"/>
        <color theme="1"/>
        <rFont val="Calibri"/>
        <family val="2"/>
        <scheme val="minor"/>
      </rPr>
      <t>Mappa No. 1 - Extracto dos boletins diarios do movimento da epidemia de febre amarella, a come</t>
    </r>
    <r>
      <rPr>
        <sz val="11"/>
        <color theme="1"/>
        <rFont val="Aptos Narrow"/>
        <family val="2"/>
      </rPr>
      <t>ç</t>
    </r>
    <r>
      <rPr>
        <sz val="11"/>
        <color theme="1"/>
        <rFont val="Calibri"/>
        <family val="2"/>
        <scheme val="minor"/>
      </rPr>
      <t>ar em 15 de setembro at</t>
    </r>
    <r>
      <rPr>
        <sz val="11"/>
        <color theme="1"/>
        <rFont val="Calibri"/>
        <family val="2"/>
      </rPr>
      <t>é</t>
    </r>
    <r>
      <rPr>
        <sz val="11"/>
        <color theme="1"/>
        <rFont val="Calibri"/>
        <family val="2"/>
        <scheme val="minor"/>
      </rPr>
      <t xml:space="preserve"> 31 de dezembro de 1857
</t>
    </r>
    <r>
      <rPr>
        <b/>
        <sz val="11"/>
        <color theme="1"/>
        <rFont val="Calibri"/>
        <family val="2"/>
        <scheme val="minor"/>
      </rPr>
      <t xml:space="preserve"> - Table Reference in Source (Translated to English): </t>
    </r>
    <r>
      <rPr>
        <sz val="11"/>
        <color theme="1"/>
        <rFont val="Calibri"/>
        <family val="2"/>
        <scheme val="minor"/>
      </rPr>
      <t xml:space="preserve">Extract from the daily bulletins of the Yellow Fever Epidemic Movement, beginning 15th September to 31st December 1857.
</t>
    </r>
    <r>
      <rPr>
        <b/>
        <sz val="11"/>
        <color theme="1"/>
        <rFont val="Calibri"/>
        <family val="2"/>
        <scheme val="minor"/>
      </rPr>
      <t xml:space="preserve"> </t>
    </r>
  </si>
  <si>
    <r>
      <t xml:space="preserve"> - </t>
    </r>
    <r>
      <rPr>
        <b/>
        <sz val="11"/>
        <color theme="1"/>
        <rFont val="Calibri"/>
        <family val="2"/>
        <scheme val="minor"/>
      </rPr>
      <t>Tab:</t>
    </r>
    <r>
      <rPr>
        <sz val="11"/>
        <color theme="1"/>
        <rFont val="Calibri"/>
        <family val="2"/>
        <scheme val="minor"/>
      </rPr>
      <t xml:space="preserve"> Fatalities by Age and Sex
 - </t>
    </r>
    <r>
      <rPr>
        <b/>
        <sz val="11"/>
        <color theme="1"/>
        <rFont val="Calibri"/>
        <family val="2"/>
        <scheme val="minor"/>
      </rPr>
      <t xml:space="preserve">Information on Data: </t>
    </r>
    <r>
      <rPr>
        <sz val="11"/>
        <color theme="1"/>
        <rFont val="Calibri"/>
        <family val="2"/>
        <scheme val="minor"/>
      </rPr>
      <t xml:space="preserve">One table describes the number of fatalities at home by age and sex. One table describes the number of fatalities at hospital by age and sex. To create Figure 2A, this data was combined with the population data in </t>
    </r>
    <r>
      <rPr>
        <sz val="11"/>
        <rFont val="Calibri"/>
        <family val="2"/>
        <scheme val="minor"/>
      </rPr>
      <t>tab 'Populations - Parishes'.</t>
    </r>
    <r>
      <rPr>
        <sz val="11"/>
        <color theme="1"/>
        <rFont val="Calibri"/>
        <family val="2"/>
        <scheme val="minor"/>
      </rPr>
      <t xml:space="preserve">
 - </t>
    </r>
    <r>
      <rPr>
        <b/>
        <sz val="11"/>
        <color theme="1"/>
        <rFont val="Calibri"/>
        <family val="2"/>
        <scheme val="minor"/>
      </rPr>
      <t>Data Source:</t>
    </r>
    <r>
      <rPr>
        <sz val="11"/>
        <color theme="1"/>
        <rFont val="Calibri"/>
        <family val="2"/>
        <scheme val="minor"/>
      </rPr>
      <t xml:space="preserve"> Healh Council (1859), pages 66 &amp; 67, page 94 --&gt;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t>
    </r>
    <r>
      <rPr>
        <sz val="11"/>
        <color theme="1"/>
        <rFont val="Calibri"/>
        <family val="2"/>
        <scheme val="minor"/>
      </rPr>
      <t xml:space="preserve">
</t>
    </r>
    <r>
      <rPr>
        <b/>
        <sz val="11"/>
        <color theme="1"/>
        <rFont val="Calibri"/>
        <family val="2"/>
        <scheme val="minor"/>
      </rPr>
      <t xml:space="preserve"> Home fatalites by age and sex:</t>
    </r>
    <r>
      <rPr>
        <sz val="11"/>
        <color theme="1"/>
        <rFont val="Calibri"/>
        <family val="2"/>
        <scheme val="minor"/>
      </rPr>
      <t xml:space="preserve"> Mappa No. 5 - Indicando, por bairros, as idades dos individuous mortos de febre amarella, em domicilios, desde 27 de junho at</t>
    </r>
    <r>
      <rPr>
        <sz val="11"/>
        <color theme="1"/>
        <rFont val="Calibri"/>
        <family val="2"/>
      </rPr>
      <t>é</t>
    </r>
    <r>
      <rPr>
        <sz val="11"/>
        <color theme="1"/>
        <rFont val="Calibri"/>
        <family val="2"/>
        <scheme val="minor"/>
      </rPr>
      <t xml:space="preserve"> 31 de dezembro de 1857, extrahido dos bilhetes mortuarios.
 </t>
    </r>
    <r>
      <rPr>
        <b/>
        <sz val="11"/>
        <color theme="1"/>
        <rFont val="Calibri"/>
        <family val="2"/>
        <scheme val="minor"/>
      </rPr>
      <t xml:space="preserve">Hospital fatalities by age and sex: </t>
    </r>
    <r>
      <rPr>
        <sz val="11"/>
        <color theme="1"/>
        <rFont val="Calibri"/>
        <family val="2"/>
        <scheme val="minor"/>
      </rPr>
      <t>Mappa No. 16</t>
    </r>
    <r>
      <rPr>
        <b/>
        <sz val="11"/>
        <color theme="1"/>
        <rFont val="Calibri"/>
        <family val="2"/>
        <scheme val="minor"/>
      </rPr>
      <t xml:space="preserve"> - </t>
    </r>
    <r>
      <rPr>
        <sz val="11"/>
        <color theme="1"/>
        <rFont val="Calibri"/>
        <family val="2"/>
        <scheme val="minor"/>
      </rPr>
      <t xml:space="preserve">Demonstrando qual foi a idade dos curados e fallecidos de febre amarella nos hospitaes provisorios, divididas as idades em periodos de 10 annos.
 - </t>
    </r>
    <r>
      <rPr>
        <b/>
        <sz val="11"/>
        <color theme="1"/>
        <rFont val="Calibri"/>
        <family val="2"/>
        <scheme val="minor"/>
      </rPr>
      <t>Table Reference in Source (Translated to English): 
 Home fatalities by age and sex:</t>
    </r>
    <r>
      <rPr>
        <sz val="11"/>
        <color theme="1"/>
        <rFont val="Calibri"/>
        <family val="2"/>
        <scheme val="minor"/>
      </rPr>
      <t xml:space="preserve"> Indicating, by neighbourhoods, the ages of individuals who died of yellow fever, at home, from 27 June to 31 December 1857, extracted from death certificates.
 </t>
    </r>
    <r>
      <rPr>
        <b/>
        <sz val="11"/>
        <color theme="1"/>
        <rFont val="Calibri"/>
        <family val="2"/>
        <scheme val="minor"/>
      </rPr>
      <t xml:space="preserve">Hospital fatalities by age and sex: </t>
    </r>
    <r>
      <rPr>
        <sz val="11"/>
        <color theme="1"/>
        <rFont val="Calibri"/>
        <family val="2"/>
        <scheme val="minor"/>
      </rPr>
      <t xml:space="preserve">Demonstrating the age of those cured and deceased from yellow fever in temporary hospitals, with ages divided into periods of 10 years.
</t>
    </r>
  </si>
  <si>
    <t>Data provided is in relation to the 1857 Lisbon yellow fever (YF) epidemic. Data used in Bates et al. (2026), 'Spatial and Social Determinants of the 1857 Yellow Fever Epidemic in Lisbon'.</t>
  </si>
  <si>
    <t>Lowest Class</t>
  </si>
  <si>
    <t>No Designation</t>
  </si>
  <si>
    <t>Fatalities at Home and Hospital, by Parish. These can be grouped into neighbourhoods to calculate neighbourhood fatalities.</t>
  </si>
  <si>
    <t>Rua da Prata</t>
  </si>
  <si>
    <t>Rua dos Fanqueiros</t>
  </si>
  <si>
    <t>Rua da Magdalena</t>
  </si>
  <si>
    <t>Rua dos Douradores</t>
  </si>
  <si>
    <t>Rua dos Correeiros (T. da Palha)</t>
  </si>
  <si>
    <t>Rua do Arco do Bandeira</t>
  </si>
  <si>
    <t>Rua de S. Bento</t>
  </si>
  <si>
    <t>Rua da Cruz (Santa Catharina)</t>
  </si>
  <si>
    <t>Rua da Regueira</t>
  </si>
  <si>
    <t>Calcada de Sant'Anna</t>
  </si>
  <si>
    <t>Calcada de Agostinho Carvalho</t>
  </si>
  <si>
    <t>Rua Augusta</t>
  </si>
  <si>
    <t>Rua da Mouraria</t>
  </si>
  <si>
    <t>Rua do Arsenal</t>
  </si>
  <si>
    <t>Rua das Canastras</t>
  </si>
  <si>
    <t>Rua dos Cavalleiros</t>
  </si>
  <si>
    <t>Rua dos Anjos</t>
  </si>
  <si>
    <t>Rua da Padaria</t>
  </si>
  <si>
    <t>Rua do Vigario</t>
  </si>
  <si>
    <t>Rua dos Remedios</t>
  </si>
  <si>
    <t>Rua da Paz</t>
  </si>
  <si>
    <t>Travessa da Arrochella</t>
  </si>
  <si>
    <t>Rua de S. Lazaro</t>
  </si>
  <si>
    <t>Rua de S. Paulo</t>
  </si>
  <si>
    <t>Rua dos Confeiteiros</t>
  </si>
  <si>
    <t>Rua da Rosa</t>
  </si>
  <si>
    <t>Travessa de S. Nicolau</t>
  </si>
  <si>
    <t>Rua da Quintinha</t>
  </si>
  <si>
    <t>Rua dos Bacalhoeiros</t>
  </si>
  <si>
    <t>Rua do Jardim do Tabaco</t>
  </si>
  <si>
    <t>Rua do Crucifixo</t>
  </si>
  <si>
    <t>Rua do Terreiro do Trigo</t>
  </si>
  <si>
    <t>Rua do Amparo</t>
  </si>
  <si>
    <t xml:space="preserve"> Rua Nova de Carvalho</t>
  </si>
  <si>
    <t>Rua do Loureto</t>
  </si>
  <si>
    <t>Rua da Ribeira Velha</t>
  </si>
  <si>
    <t>Rua de S. Vicente</t>
  </si>
  <si>
    <t>Beco da Lapa</t>
  </si>
  <si>
    <t>Beco do Forno</t>
  </si>
  <si>
    <t>Travessa de Santa Justa</t>
  </si>
  <si>
    <t>Praca de D. Pedro</t>
  </si>
  <si>
    <t>Rua dos Lagares</t>
  </si>
  <si>
    <t>Arco das Portas do Mar</t>
  </si>
  <si>
    <t>Largo do Chafariz de Dentro</t>
  </si>
  <si>
    <t>Rua do Corpo Santo</t>
  </si>
  <si>
    <t>Rua de Martim Vaz</t>
  </si>
  <si>
    <t>Rua do Norte</t>
  </si>
  <si>
    <t>Travessa da Victoria</t>
  </si>
  <si>
    <t>Calcada do Garcia</t>
  </si>
  <si>
    <t>Rua dos Cardaes de Jesus</t>
  </si>
  <si>
    <t>Praca da Alegria</t>
  </si>
  <si>
    <t>Travessa do Almada</t>
  </si>
  <si>
    <t>Calcada de S. Francisco</t>
  </si>
  <si>
    <t>Beco da Barbadella</t>
  </si>
  <si>
    <t>Beco do Rosendo</t>
  </si>
  <si>
    <t>Calcada/Rua do Salitre</t>
  </si>
  <si>
    <t>Travessa da Veronica</t>
  </si>
  <si>
    <t>Beco do Bello</t>
  </si>
  <si>
    <t>Calcada do Sacramento</t>
  </si>
  <si>
    <t>Calcada do Duque</t>
  </si>
  <si>
    <t>Largo do Poco do Borratem</t>
  </si>
  <si>
    <t>Rua da Achada</t>
  </si>
  <si>
    <t>Rua do Almada</t>
  </si>
  <si>
    <t>Rua da Bitesga</t>
  </si>
  <si>
    <t xml:space="preserve"> Calcada do Marquez de Abrantes</t>
  </si>
  <si>
    <t>Largo do Salvador</t>
  </si>
  <si>
    <t>Rua dos Romulares</t>
  </si>
  <si>
    <t>Rua da Barroca</t>
  </si>
  <si>
    <t>Rua das Farinhas</t>
  </si>
  <si>
    <t>Beco da Era</t>
  </si>
  <si>
    <t>Beco do Azinhal</t>
  </si>
  <si>
    <t xml:space="preserve"> Pateo/Rua das Flores</t>
  </si>
  <si>
    <t>Rua do Arco do Limoeiro</t>
  </si>
  <si>
    <t>Rua das Atafonas</t>
  </si>
  <si>
    <t>Beco da Atafona</t>
  </si>
  <si>
    <t>Beco do Mello</t>
  </si>
  <si>
    <t>Beco dos Birbantes</t>
  </si>
  <si>
    <t>Calcada dos Barbadinhos</t>
  </si>
  <si>
    <t>Rua de Caetano Palha</t>
  </si>
  <si>
    <t>Beco das Flores</t>
  </si>
  <si>
    <t>Beco dos Surradores</t>
  </si>
  <si>
    <t>Beco do Mexia</t>
  </si>
  <si>
    <t>Street Name</t>
  </si>
  <si>
    <t>Number of Fatalities</t>
  </si>
  <si>
    <t>Rua dos Algibebes (Local Name)</t>
  </si>
  <si>
    <t>Fatalities by Street. These were the 101 streets reported on in Bates et al. (2026), 'Spatial and Social Determinants of the 1857 Yellow Fever Epidemic in Lisbon'. These streets were able to be mapped using a historic map. There is more data available in the historic Health Council (1859) report, but was not digitalised.</t>
  </si>
  <si>
    <r>
      <t>Travessa da Assump</t>
    </r>
    <r>
      <rPr>
        <sz val="11"/>
        <color theme="1"/>
        <rFont val="Aptos Narrow"/>
        <family val="2"/>
      </rPr>
      <t>çã</t>
    </r>
    <r>
      <rPr>
        <sz val="11"/>
        <color theme="1"/>
        <rFont val="Calibri"/>
        <family val="2"/>
        <scheme val="minor"/>
      </rPr>
      <t>o</t>
    </r>
  </si>
  <si>
    <r>
      <t>Rua do Arco da Gra</t>
    </r>
    <r>
      <rPr>
        <sz val="11"/>
        <color theme="1"/>
        <rFont val="Aptos Narrow"/>
        <family val="2"/>
      </rPr>
      <t>ç</t>
    </r>
    <r>
      <rPr>
        <sz val="11"/>
        <color theme="1"/>
        <rFont val="Calibri"/>
        <family val="2"/>
        <scheme val="minor"/>
      </rPr>
      <t>a</t>
    </r>
  </si>
  <si>
    <r>
      <t>Rua de S. Thom</t>
    </r>
    <r>
      <rPr>
        <sz val="11"/>
        <color theme="1"/>
        <rFont val="Aptos Narrow"/>
        <family val="2"/>
      </rPr>
      <t>é</t>
    </r>
  </si>
  <si>
    <r>
      <t>Rua de S. Jo</t>
    </r>
    <r>
      <rPr>
        <sz val="11"/>
        <color theme="1"/>
        <rFont val="Aptos Narrow"/>
        <family val="2"/>
      </rPr>
      <t>ã</t>
    </r>
    <r>
      <rPr>
        <sz val="11"/>
        <color theme="1"/>
        <rFont val="Calibri"/>
        <family val="2"/>
        <scheme val="minor"/>
      </rPr>
      <t>o da Pra</t>
    </r>
    <r>
      <rPr>
        <sz val="11"/>
        <color theme="1"/>
        <rFont val="Aptos Narrow"/>
        <family val="2"/>
      </rPr>
      <t>ç</t>
    </r>
    <r>
      <rPr>
        <sz val="11"/>
        <color theme="1"/>
        <rFont val="Calibri"/>
        <family val="2"/>
        <scheme val="minor"/>
      </rPr>
      <t>a</t>
    </r>
  </si>
  <si>
    <r>
      <t>Rua de S. Christov</t>
    </r>
    <r>
      <rPr>
        <sz val="11"/>
        <color theme="1"/>
        <rFont val="Aptos Narrow"/>
        <family val="2"/>
      </rPr>
      <t>ã</t>
    </r>
    <r>
      <rPr>
        <sz val="11"/>
        <color theme="1"/>
        <rFont val="Calibri"/>
        <family val="2"/>
        <scheme val="minor"/>
      </rPr>
      <t>o</t>
    </r>
  </si>
  <si>
    <r>
      <t>Rua de Jo</t>
    </r>
    <r>
      <rPr>
        <sz val="11"/>
        <color theme="1"/>
        <rFont val="Aptos Narrow"/>
        <family val="2"/>
      </rPr>
      <t>ã</t>
    </r>
    <r>
      <rPr>
        <sz val="11"/>
        <color theme="1"/>
        <rFont val="Calibri"/>
        <family val="2"/>
        <scheme val="minor"/>
      </rPr>
      <t>o de Outeiro</t>
    </r>
  </si>
  <si>
    <r>
      <t>Rua de Castello Pic</t>
    </r>
    <r>
      <rPr>
        <sz val="11"/>
        <color theme="1"/>
        <rFont val="Aptos Narrow"/>
        <family val="2"/>
      </rPr>
      <t>ã</t>
    </r>
    <r>
      <rPr>
        <sz val="11"/>
        <color theme="1"/>
        <rFont val="Calibri"/>
        <family val="2"/>
        <scheme val="minor"/>
      </rPr>
      <t>o</t>
    </r>
  </si>
  <si>
    <r>
      <t>Rua das Portas de Santo Ant</t>
    </r>
    <r>
      <rPr>
        <sz val="11"/>
        <color theme="1"/>
        <rFont val="Aptos Narrow"/>
        <family val="2"/>
      </rPr>
      <t>ã</t>
    </r>
    <r>
      <rPr>
        <sz val="11"/>
        <color theme="1"/>
        <rFont val="Calibri"/>
        <family val="2"/>
        <scheme val="minor"/>
      </rPr>
      <t>o</t>
    </r>
  </si>
  <si>
    <r>
      <t>Rua da Gal</t>
    </r>
    <r>
      <rPr>
        <sz val="11"/>
        <color theme="1"/>
        <rFont val="Calibri"/>
        <family val="2"/>
      </rPr>
      <t>é</t>
    </r>
  </si>
  <si>
    <r>
      <t>Rua da Esperan</t>
    </r>
    <r>
      <rPr>
        <sz val="11"/>
        <color theme="1"/>
        <rFont val="Aptos Narrow"/>
        <family val="2"/>
      </rPr>
      <t>ç</t>
    </r>
    <r>
      <rPr>
        <sz val="11"/>
        <color theme="1"/>
        <rFont val="Calibri"/>
        <family val="2"/>
        <scheme val="minor"/>
      </rPr>
      <t>a</t>
    </r>
  </si>
  <si>
    <r>
      <t>Rua da Concei</t>
    </r>
    <r>
      <rPr>
        <sz val="11"/>
        <color theme="1"/>
        <rFont val="Aptos Narrow"/>
        <family val="2"/>
      </rPr>
      <t>çã</t>
    </r>
    <r>
      <rPr>
        <sz val="11"/>
        <color theme="1"/>
        <rFont val="Calibri"/>
        <family val="2"/>
        <scheme val="minor"/>
      </rPr>
      <t>o, or Retrozeiros</t>
    </r>
  </si>
  <si>
    <r>
      <t>Rua da Adi</t>
    </r>
    <r>
      <rPr>
        <sz val="11"/>
        <color theme="1"/>
        <rFont val="Aptos Narrow"/>
        <family val="2"/>
      </rPr>
      <t>ç</t>
    </r>
    <r>
      <rPr>
        <sz val="11"/>
        <color theme="1"/>
        <rFont val="Calibri"/>
        <family val="2"/>
        <scheme val="minor"/>
      </rPr>
      <t>a</t>
    </r>
  </si>
  <si>
    <r>
      <t>Largo do Convento da Encarna</t>
    </r>
    <r>
      <rPr>
        <sz val="11"/>
        <color theme="1"/>
        <rFont val="Aptos Narrow"/>
        <family val="2"/>
      </rPr>
      <t>çã</t>
    </r>
    <r>
      <rPr>
        <sz val="11"/>
        <color theme="1"/>
        <rFont val="Calibri"/>
        <family val="2"/>
        <scheme val="minor"/>
      </rPr>
      <t>o</t>
    </r>
  </si>
  <si>
    <r>
      <t>Escadinhas de Sao Christov</t>
    </r>
    <r>
      <rPr>
        <sz val="11"/>
        <color theme="1"/>
        <rFont val="Aptos Narrow"/>
        <family val="2"/>
      </rPr>
      <t>ã</t>
    </r>
    <r>
      <rPr>
        <sz val="11"/>
        <color theme="1"/>
        <rFont val="Calibri"/>
        <family val="2"/>
        <scheme val="minor"/>
      </rPr>
      <t>o</t>
    </r>
  </si>
  <si>
    <r>
      <t>Calcada de Santo Estev</t>
    </r>
    <r>
      <rPr>
        <sz val="11"/>
        <color theme="1"/>
        <rFont val="Aptos Narrow"/>
        <family val="2"/>
      </rPr>
      <t>ã</t>
    </r>
    <r>
      <rPr>
        <sz val="11"/>
        <color theme="1"/>
        <rFont val="Calibri"/>
        <family val="2"/>
        <scheme val="minor"/>
      </rPr>
      <t>o</t>
    </r>
  </si>
  <si>
    <r>
      <t>Calcada de Santo Andr</t>
    </r>
    <r>
      <rPr>
        <sz val="11"/>
        <color theme="1"/>
        <rFont val="Calibri"/>
        <family val="2"/>
      </rPr>
      <t>é</t>
    </r>
  </si>
  <si>
    <r>
      <t>Beco do Jord</t>
    </r>
    <r>
      <rPr>
        <sz val="11"/>
        <color theme="1"/>
        <rFont val="Aptos Narrow"/>
        <family val="2"/>
      </rPr>
      <t>ã</t>
    </r>
    <r>
      <rPr>
        <sz val="11"/>
        <color theme="1"/>
        <rFont val="Calibri"/>
        <family val="2"/>
        <scheme val="minor"/>
      </rPr>
      <t>o</t>
    </r>
  </si>
  <si>
    <r>
      <t xml:space="preserve"> Largo de Santo Antonio da S</t>
    </r>
    <r>
      <rPr>
        <sz val="11"/>
        <color theme="1"/>
        <rFont val="Calibri"/>
        <family val="2"/>
      </rPr>
      <t>é</t>
    </r>
  </si>
  <si>
    <t>Jan</t>
  </si>
  <si>
    <t>Feb</t>
  </si>
  <si>
    <t>Mar</t>
  </si>
  <si>
    <t>April</t>
  </si>
  <si>
    <t>May</t>
  </si>
  <si>
    <t>June</t>
  </si>
  <si>
    <t>July</t>
  </si>
  <si>
    <t>Aug</t>
  </si>
  <si>
    <t>Sept</t>
  </si>
  <si>
    <t>Oct</t>
  </si>
  <si>
    <t>Nov</t>
  </si>
  <si>
    <t>Dec</t>
  </si>
  <si>
    <t>°C</t>
  </si>
  <si>
    <t>January</t>
  </si>
  <si>
    <t>February</t>
  </si>
  <si>
    <t>March</t>
  </si>
  <si>
    <t>August</t>
  </si>
  <si>
    <t>Min</t>
  </si>
  <si>
    <t>Max</t>
  </si>
  <si>
    <r>
      <t>Monthly Minimum and Maximum Temperatures (</t>
    </r>
    <r>
      <rPr>
        <b/>
        <u/>
        <sz val="11"/>
        <color theme="1"/>
        <rFont val="Calibri"/>
        <family val="2"/>
      </rPr>
      <t>°C) of Lisbon in the years of 1855, 1856, and 1857</t>
    </r>
  </si>
  <si>
    <t>mm</t>
  </si>
  <si>
    <t>no. rainy days</t>
  </si>
  <si>
    <r>
      <t>Monthly Total Precipitation (mm</t>
    </r>
    <r>
      <rPr>
        <b/>
        <u/>
        <sz val="11"/>
        <color theme="1"/>
        <rFont val="Calibri"/>
        <family val="2"/>
      </rPr>
      <t>) and Number of Rainy Days in Lisbon in the years of 1855, 1856, and 1857</t>
    </r>
  </si>
  <si>
    <r>
      <t>Monthly Mean Temperatures (</t>
    </r>
    <r>
      <rPr>
        <b/>
        <u/>
        <sz val="11"/>
        <color theme="1"/>
        <rFont val="Calibri"/>
        <family val="2"/>
      </rPr>
      <t>°C) of Lisbon in the years of 1855, 1856, and 1857</t>
    </r>
  </si>
  <si>
    <t>Note: The precipitation totals in the original data source are listed in centimetres. These were then coverted by the authors to match the units of the following years.</t>
  </si>
  <si>
    <r>
      <t xml:space="preserve"> - </t>
    </r>
    <r>
      <rPr>
        <b/>
        <sz val="11"/>
        <color theme="1"/>
        <rFont val="Calibri"/>
        <family val="2"/>
        <scheme val="minor"/>
      </rPr>
      <t>Tab:</t>
    </r>
    <r>
      <rPr>
        <sz val="11"/>
        <color theme="1"/>
        <rFont val="Calibri"/>
        <family val="2"/>
        <scheme val="minor"/>
      </rPr>
      <t xml:space="preserve"> Temperature &amp; Precipitation
 - </t>
    </r>
    <r>
      <rPr>
        <b/>
        <sz val="11"/>
        <color theme="1"/>
        <rFont val="Calibri"/>
        <family val="2"/>
        <scheme val="minor"/>
      </rPr>
      <t xml:space="preserve">Information on Data: </t>
    </r>
    <r>
      <rPr>
        <sz val="11"/>
        <color theme="1"/>
        <rFont val="Calibri"/>
        <family val="2"/>
        <scheme val="minor"/>
      </rPr>
      <t xml:space="preserve">Three tables provided on the temperature and precipitation conditions of Lisbon 1855 - 1857. Information included is the monthly mean temperatures, monthly minimum and maximum temperatures, total monthly precipitation, and number of rainy days per month. Informed Supplementary Information Figure S3.
 - </t>
    </r>
    <r>
      <rPr>
        <b/>
        <sz val="11"/>
        <color theme="1"/>
        <rFont val="Calibri"/>
        <family val="2"/>
        <scheme val="minor"/>
      </rPr>
      <t xml:space="preserve">Data Source: </t>
    </r>
    <r>
      <rPr>
        <sz val="11"/>
        <color theme="1"/>
        <rFont val="Calibri"/>
        <family val="2"/>
        <scheme val="minor"/>
      </rPr>
      <t xml:space="preserve">Lyons (1859), Sheet 1, Table 2 --&gt; Lyons, R. D., (1859), 'Dr Lyons on the climatology of Lisbon in relation to the Yellow Fever Epidemic of 1857.' In: Art. III. - Climatology of Lisbon in relation to the yellow fever epidemic of 1857. British Periodicals. The Atlantis: Dublin. 2. pp. 460-485. </t>
    </r>
  </si>
  <si>
    <r>
      <t>S</t>
    </r>
    <r>
      <rPr>
        <b/>
        <sz val="11"/>
        <color theme="1"/>
        <rFont val="Calibri"/>
        <family val="2"/>
      </rPr>
      <t>é</t>
    </r>
  </si>
  <si>
    <r>
      <t>Santo Estev</t>
    </r>
    <r>
      <rPr>
        <b/>
        <sz val="11"/>
        <color theme="1"/>
        <rFont val="Calibri"/>
        <family val="2"/>
      </rPr>
      <t>ão</t>
    </r>
  </si>
  <si>
    <r>
      <t>S. Thom</t>
    </r>
    <r>
      <rPr>
        <b/>
        <sz val="11"/>
        <color theme="1"/>
        <rFont val="Calibri"/>
        <family val="2"/>
      </rPr>
      <t>é e S. Vicente</t>
    </r>
  </si>
  <si>
    <r>
      <t>S. Juli</t>
    </r>
    <r>
      <rPr>
        <b/>
        <sz val="11"/>
        <color theme="1"/>
        <rFont val="Calibri"/>
        <family val="2"/>
      </rPr>
      <t>ão</t>
    </r>
  </si>
  <si>
    <r>
      <t>Merc</t>
    </r>
    <r>
      <rPr>
        <b/>
        <sz val="11"/>
        <color theme="1"/>
        <rFont val="Calibri"/>
        <family val="2"/>
      </rPr>
      <t>ês</t>
    </r>
  </si>
  <si>
    <r>
      <t>Concei</t>
    </r>
    <r>
      <rPr>
        <b/>
        <sz val="11"/>
        <color theme="1"/>
        <rFont val="Calibri"/>
        <family val="2"/>
      </rPr>
      <t>ção Nova</t>
    </r>
  </si>
  <si>
    <r>
      <t>S. Jo</t>
    </r>
    <r>
      <rPr>
        <b/>
        <sz val="11"/>
        <color theme="1"/>
        <rFont val="Calibri"/>
        <family val="2"/>
      </rPr>
      <t>ão da Praça</t>
    </r>
  </si>
  <si>
    <r>
      <t>Encarna</t>
    </r>
    <r>
      <rPr>
        <b/>
        <sz val="11"/>
        <color theme="1"/>
        <rFont val="Calibri"/>
        <family val="2"/>
      </rPr>
      <t>ção</t>
    </r>
  </si>
  <si>
    <r>
      <t>S. Christov</t>
    </r>
    <r>
      <rPr>
        <b/>
        <sz val="11"/>
        <color theme="1"/>
        <rFont val="Calibri"/>
        <family val="2"/>
      </rPr>
      <t>ão</t>
    </r>
  </si>
  <si>
    <r>
      <t>S. Jos</t>
    </r>
    <r>
      <rPr>
        <b/>
        <sz val="11"/>
        <color theme="1"/>
        <rFont val="Calibri"/>
        <family val="2"/>
      </rPr>
      <t>é</t>
    </r>
  </si>
  <si>
    <r>
      <t>S. Louren</t>
    </r>
    <r>
      <rPr>
        <b/>
        <sz val="11"/>
        <color theme="1"/>
        <rFont val="Calibri"/>
        <family val="2"/>
      </rPr>
      <t>ço</t>
    </r>
  </si>
  <si>
    <r>
      <t>Santo Andr</t>
    </r>
    <r>
      <rPr>
        <b/>
        <sz val="11"/>
        <color theme="1"/>
        <rFont val="Calibri"/>
        <family val="2"/>
      </rPr>
      <t xml:space="preserve">é e Santa Marinha </t>
    </r>
  </si>
  <si>
    <r>
      <t>Cora</t>
    </r>
    <r>
      <rPr>
        <b/>
        <sz val="11"/>
        <color theme="1"/>
        <rFont val="Calibri"/>
        <family val="2"/>
      </rPr>
      <t>ção de Jesus</t>
    </r>
  </si>
  <si>
    <r>
      <t>S. Sebasti</t>
    </r>
    <r>
      <rPr>
        <b/>
        <sz val="11"/>
        <color theme="1"/>
        <rFont val="Calibri"/>
        <family val="2"/>
      </rPr>
      <t>ão da Pedreira</t>
    </r>
  </si>
  <si>
    <t>Admitted</t>
  </si>
  <si>
    <t>Cured</t>
  </si>
  <si>
    <t>Deaths</t>
  </si>
  <si>
    <t xml:space="preserve">Women </t>
  </si>
  <si>
    <t>Number of individuals admitted to, cured, and died, in a YF-specific hospital, by month and sex</t>
  </si>
  <si>
    <r>
      <t xml:space="preserve"> - </t>
    </r>
    <r>
      <rPr>
        <b/>
        <sz val="11"/>
        <color theme="1"/>
        <rFont val="Calibri"/>
        <family val="2"/>
        <scheme val="minor"/>
      </rPr>
      <t>Tab:</t>
    </r>
    <r>
      <rPr>
        <sz val="11"/>
        <color theme="1"/>
        <rFont val="Calibri"/>
        <family val="2"/>
        <scheme val="minor"/>
      </rPr>
      <t xml:space="preserve"> YF Hospital Clinical Movement
 - </t>
    </r>
    <r>
      <rPr>
        <b/>
        <sz val="11"/>
        <color theme="1"/>
        <rFont val="Calibri"/>
        <family val="2"/>
        <scheme val="minor"/>
      </rPr>
      <t xml:space="preserve">Information on Data: </t>
    </r>
    <r>
      <rPr>
        <sz val="11"/>
        <color theme="1"/>
        <rFont val="Calibri"/>
        <family val="2"/>
        <scheme val="minor"/>
      </rPr>
      <t xml:space="preserve">Number of individuals admitted to, cured, and died, in a YF-specific hospital, by month and sex. Informed Supplementary Information Figure S4B. Average admission, cured, and fatalities by month and sex. Maximum and minimum number of admissions, and average duration of stay, by month.
 - </t>
    </r>
    <r>
      <rPr>
        <b/>
        <sz val="11"/>
        <color theme="1"/>
        <rFont val="Calibri"/>
        <family val="2"/>
        <scheme val="minor"/>
      </rPr>
      <t xml:space="preserve">Data Source: </t>
    </r>
    <r>
      <rPr>
        <sz val="11"/>
        <color theme="1"/>
        <rFont val="Calibri"/>
        <family val="2"/>
        <scheme val="minor"/>
      </rPr>
      <t xml:space="preserve">Healh Council (1859), page 113 --&gt;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t>
    </r>
    <r>
      <rPr>
        <sz val="11"/>
        <color theme="1"/>
        <rFont val="Calibri"/>
        <family val="2"/>
        <scheme val="minor"/>
      </rPr>
      <t>Mappa No. 29 - Movimento clinico dos doentes tratados nos hospitaes de febre amarella nos mezes em que durou a epidemia; rela</t>
    </r>
    <r>
      <rPr>
        <sz val="11"/>
        <color theme="1"/>
        <rFont val="Aptos Narrow"/>
        <family val="2"/>
      </rPr>
      <t>çã</t>
    </r>
    <r>
      <rPr>
        <sz val="9.9"/>
        <color theme="1"/>
        <rFont val="Calibri"/>
        <family val="2"/>
      </rPr>
      <t>o em que esteve em cada mez o numero dos entrados, curados e fallecidos nos respectivos hospitaes; média da entrada, curabilidade e mortalidade; maxima e minima entrada; dura</t>
    </r>
    <r>
      <rPr>
        <sz val="9.9"/>
        <color theme="1"/>
        <rFont val="Aptos Narrow"/>
        <family val="2"/>
      </rPr>
      <t>çã</t>
    </r>
    <r>
      <rPr>
        <sz val="11"/>
        <color theme="1"/>
        <rFont val="Calibri"/>
        <family val="2"/>
      </rPr>
      <t>o média.</t>
    </r>
    <r>
      <rPr>
        <b/>
        <sz val="11"/>
        <color theme="1"/>
        <rFont val="Calibri"/>
        <family val="2"/>
        <scheme val="minor"/>
      </rPr>
      <t xml:space="preserve">
</t>
    </r>
    <r>
      <rPr>
        <sz val="11"/>
        <color theme="1"/>
        <rFont val="Calibri"/>
        <family val="2"/>
        <scheme val="minor"/>
      </rPr>
      <t xml:space="preserve"> - </t>
    </r>
    <r>
      <rPr>
        <b/>
        <sz val="11"/>
        <color theme="1"/>
        <rFont val="Calibri"/>
        <family val="2"/>
        <scheme val="minor"/>
      </rPr>
      <t xml:space="preserve">Table Reference in Source (Translated to English): </t>
    </r>
    <r>
      <rPr>
        <sz val="11"/>
        <color theme="1"/>
        <rFont val="Calibri"/>
        <family val="2"/>
        <scheme val="minor"/>
      </rPr>
      <t>Clinical movement of patients treated in yellow fever hospitals during the months of the epidemic; relation showing the number of admissions, recoveries and deaths in each hospital for each month; average admission, recovery rate and mortality; maximum and minimum admission; average duration.</t>
    </r>
  </si>
  <si>
    <t>Daily avg. admitted</t>
  </si>
  <si>
    <t>Daily avg. cured</t>
  </si>
  <si>
    <t>Daily avg. deaths</t>
  </si>
  <si>
    <t>Max. admitted</t>
  </si>
  <si>
    <t>Min. admitted</t>
  </si>
  <si>
    <t>Avg. duration</t>
  </si>
  <si>
    <t>Average admission, cured, and fatalities by month and sex. Maximum and minimum number of admissions, and average duration of stay, by month.</t>
  </si>
  <si>
    <t>Status</t>
  </si>
  <si>
    <t>Dead</t>
  </si>
  <si>
    <t>Mortality rate</t>
  </si>
  <si>
    <t>Vaccinated</t>
  </si>
  <si>
    <t>1:3.3</t>
  </si>
  <si>
    <t>Unvaccinated</t>
  </si>
  <si>
    <t>1:2.5</t>
  </si>
  <si>
    <t>Not declared in paperwork</t>
  </si>
  <si>
    <r>
      <t xml:space="preserve"> - </t>
    </r>
    <r>
      <rPr>
        <b/>
        <sz val="11"/>
        <color theme="1"/>
        <rFont val="Calibri"/>
        <family val="2"/>
        <scheme val="minor"/>
      </rPr>
      <t>Tab:</t>
    </r>
    <r>
      <rPr>
        <sz val="11"/>
        <color theme="1"/>
        <rFont val="Calibri"/>
        <family val="2"/>
        <scheme val="minor"/>
      </rPr>
      <t xml:space="preserve"> Fatalities - Streets
 - </t>
    </r>
    <r>
      <rPr>
        <b/>
        <sz val="11"/>
        <color theme="1"/>
        <rFont val="Calibri"/>
        <family val="2"/>
        <scheme val="minor"/>
      </rPr>
      <t xml:space="preserve">Information on Data: </t>
    </r>
    <r>
      <rPr>
        <sz val="11"/>
        <color theme="1"/>
        <rFont val="Calibri"/>
        <family val="2"/>
        <scheme val="minor"/>
      </rPr>
      <t xml:space="preserve">Number of fatalities on 101 streets of Lisbon that could be identified and plotted on a historic map. 
 - </t>
    </r>
    <r>
      <rPr>
        <b/>
        <sz val="11"/>
        <color theme="1"/>
        <rFont val="Calibri"/>
        <family val="2"/>
        <scheme val="minor"/>
      </rPr>
      <t xml:space="preserve">Data Source: </t>
    </r>
    <r>
      <rPr>
        <sz val="11"/>
        <color theme="1"/>
        <rFont val="Calibri"/>
        <family val="2"/>
        <scheme val="minor"/>
      </rPr>
      <t xml:space="preserve">Healh Council (1859), pages 119 - 121 --&gt;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t>
    </r>
    <r>
      <rPr>
        <sz val="11"/>
        <color theme="1"/>
        <rFont val="Calibri"/>
        <family val="2"/>
        <scheme val="minor"/>
      </rPr>
      <t xml:space="preserve">Mappa No. 36 - Numero de fallecidos de febre amarella de algumas localidades mais atacadas, reuinindo tanto os que falleceram em domicilios como nos hospitaes civis especiaes.
 - </t>
    </r>
    <r>
      <rPr>
        <b/>
        <sz val="11"/>
        <color theme="1"/>
        <rFont val="Calibri"/>
        <family val="2"/>
        <scheme val="minor"/>
      </rPr>
      <t xml:space="preserve">Table Reference in Source (Translated to English): </t>
    </r>
    <r>
      <rPr>
        <sz val="11"/>
        <color theme="1"/>
        <rFont val="Calibri"/>
        <family val="2"/>
        <scheme val="minor"/>
      </rPr>
      <t>Number of yellow fever deaths in some of the most affected locations, including both those who died at home and in special civil hospitals.</t>
    </r>
  </si>
  <si>
    <t>Number of individuals that were cured or died in YF-specific hospitals, by sex and vaccination status</t>
  </si>
  <si>
    <r>
      <t xml:space="preserve"> - </t>
    </r>
    <r>
      <rPr>
        <b/>
        <sz val="11"/>
        <color theme="1"/>
        <rFont val="Calibri"/>
        <family val="2"/>
        <scheme val="minor"/>
      </rPr>
      <t>Tab:</t>
    </r>
    <r>
      <rPr>
        <sz val="11"/>
        <color theme="1"/>
        <rFont val="Calibri"/>
        <family val="2"/>
        <scheme val="minor"/>
      </rPr>
      <t xml:space="preserve"> Vaccination Status
 - </t>
    </r>
    <r>
      <rPr>
        <b/>
        <sz val="11"/>
        <color theme="1"/>
        <rFont val="Calibri"/>
        <family val="2"/>
        <scheme val="minor"/>
      </rPr>
      <t xml:space="preserve">Information on Data: </t>
    </r>
    <r>
      <rPr>
        <sz val="11"/>
        <color theme="1"/>
        <rFont val="Calibri"/>
        <family val="2"/>
        <scheme val="minor"/>
      </rPr>
      <t xml:space="preserve">Data illustrating the outcomes in YF-specific hospitals, by sex and vaccination status. Numbers are provided for the number that were cured or died, and whether they were vaccinated. Informed Supplementary Information Figure S4C.
 - </t>
    </r>
    <r>
      <rPr>
        <b/>
        <sz val="11"/>
        <color theme="1"/>
        <rFont val="Calibri"/>
        <family val="2"/>
        <scheme val="minor"/>
      </rPr>
      <t xml:space="preserve">Data Source: </t>
    </r>
    <r>
      <rPr>
        <sz val="11"/>
        <color theme="1"/>
        <rFont val="Calibri"/>
        <family val="2"/>
        <scheme val="minor"/>
      </rPr>
      <t xml:space="preserve">Healh Council (1859), page 112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t>
    </r>
    <r>
      <rPr>
        <sz val="11"/>
        <color theme="1"/>
        <rFont val="Calibri"/>
        <family val="2"/>
        <scheme val="minor"/>
      </rPr>
      <t>Mappa No. 27 - Quadro dos curados e fallecidos de febre amarella nos respectivos hospitaes em 1857, designando os que haviam sido ou n</t>
    </r>
    <r>
      <rPr>
        <sz val="11"/>
        <color theme="1"/>
        <rFont val="Aptos Narrow"/>
        <family val="2"/>
      </rPr>
      <t>ã</t>
    </r>
    <r>
      <rPr>
        <sz val="9.9"/>
        <color theme="1"/>
        <rFont val="Calibri"/>
        <family val="2"/>
      </rPr>
      <t>o vaccinados.</t>
    </r>
    <r>
      <rPr>
        <sz val="11"/>
        <color theme="1"/>
        <rFont val="Calibri"/>
        <family val="2"/>
        <scheme val="minor"/>
      </rPr>
      <t xml:space="preserve">
 - </t>
    </r>
    <r>
      <rPr>
        <b/>
        <sz val="11"/>
        <color theme="1"/>
        <rFont val="Calibri"/>
        <family val="2"/>
        <scheme val="minor"/>
      </rPr>
      <t xml:space="preserve">Table Reference in Source (Translated to English): </t>
    </r>
    <r>
      <rPr>
        <sz val="11"/>
        <color theme="1"/>
        <rFont val="Calibri"/>
        <family val="2"/>
        <scheme val="minor"/>
      </rPr>
      <t>Table of those cured and deceased from yellow fever in the respective hospitals in 1857, indicating those who had been vaccinated or not.</t>
    </r>
  </si>
  <si>
    <t>Neighbourhoods</t>
  </si>
  <si>
    <t xml:space="preserve">Alfama </t>
  </si>
  <si>
    <t>Total in each Neighbourhood</t>
  </si>
  <si>
    <t>Home Fatalities</t>
  </si>
  <si>
    <t>Hospital Fatalities</t>
  </si>
  <si>
    <r>
      <t xml:space="preserve"> - </t>
    </r>
    <r>
      <rPr>
        <b/>
        <sz val="11"/>
        <color theme="1"/>
        <rFont val="Calibri"/>
        <family val="2"/>
        <scheme val="minor"/>
      </rPr>
      <t>Tab:</t>
    </r>
    <r>
      <rPr>
        <sz val="11"/>
        <color theme="1"/>
        <rFont val="Calibri"/>
        <family val="2"/>
        <scheme val="minor"/>
      </rPr>
      <t xml:space="preserve"> Fatalities - Location and Sex
 - </t>
    </r>
    <r>
      <rPr>
        <b/>
        <sz val="11"/>
        <color theme="1"/>
        <rFont val="Calibri"/>
        <family val="2"/>
        <scheme val="minor"/>
      </rPr>
      <t xml:space="preserve">Information on Data: </t>
    </r>
    <r>
      <rPr>
        <sz val="11"/>
        <color theme="1"/>
        <rFont val="Calibri"/>
        <family val="2"/>
        <scheme val="minor"/>
      </rPr>
      <t xml:space="preserve">Data illustrates the number of fatalities in homes and hospitals in each neighbourhood of Lisbon, by sex. Informed Supplementary Information Figure S4D.
 - </t>
    </r>
    <r>
      <rPr>
        <b/>
        <sz val="11"/>
        <color theme="1"/>
        <rFont val="Calibri"/>
        <family val="2"/>
        <scheme val="minor"/>
      </rPr>
      <t xml:space="preserve">Data Source: </t>
    </r>
    <r>
      <rPr>
        <sz val="11"/>
        <color theme="1"/>
        <rFont val="Calibri"/>
        <family val="2"/>
        <scheme val="minor"/>
      </rPr>
      <t xml:space="preserve">Healh Council (1859), page 118  --&gt; Health Council, (1859). Report on the yellow fever epidemic in Lisbon in the year of 1857. Extraordinary Public Health Council of the Kingdom.
 - </t>
    </r>
    <r>
      <rPr>
        <b/>
        <sz val="11"/>
        <color theme="1"/>
        <rFont val="Calibri"/>
        <family val="2"/>
        <scheme val="minor"/>
      </rPr>
      <t xml:space="preserve">Table Reference in Source (Portuguese): </t>
    </r>
    <r>
      <rPr>
        <sz val="11"/>
        <color theme="1"/>
        <rFont val="Calibri"/>
        <family val="2"/>
        <scheme val="minor"/>
      </rPr>
      <t>Mappa No. 35 - Numero dos fallecidos de febre amarella at</t>
    </r>
    <r>
      <rPr>
        <sz val="11"/>
        <color theme="1"/>
        <rFont val="Calibri"/>
        <family val="2"/>
      </rPr>
      <t>é</t>
    </r>
    <r>
      <rPr>
        <sz val="9.9"/>
        <color theme="1"/>
        <rFont val="Calibri"/>
        <family val="2"/>
      </rPr>
      <t xml:space="preserve"> ao fim de dezembro de 1857 nos quatro bairros de lisboa, tanto em domicilios como nos hospitaes especiaes.</t>
    </r>
    <r>
      <rPr>
        <sz val="11"/>
        <color theme="1"/>
        <rFont val="Calibri"/>
        <family val="2"/>
        <scheme val="minor"/>
      </rPr>
      <t xml:space="preserve">
 - </t>
    </r>
    <r>
      <rPr>
        <b/>
        <sz val="11"/>
        <color theme="1"/>
        <rFont val="Calibri"/>
        <family val="2"/>
        <scheme val="minor"/>
      </rPr>
      <t xml:space="preserve">Table Reference in Source (Translated to English): </t>
    </r>
    <r>
      <rPr>
        <sz val="11"/>
        <color theme="1"/>
        <rFont val="Calibri"/>
        <family val="2"/>
        <scheme val="minor"/>
      </rPr>
      <t>Number of deaths from yellow fever up to the end of December 1857 in the four neighbourhoods of Lisbon, both at home and in special hospitals.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</si>
</sst>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u/>
      <sz val="11"/>
      <color theme="1"/>
      <name val="Calibri"/>
      <family val="2"/>
      <scheme val="minor"/>
    </font>
    <font>
      <b/>
      <sz val="14"/>
      <color theme="1"/>
      <name val="Calibri"/>
      <family val="2"/>
      <scheme val="minor"/>
    </font>
    <font>
      <sz val="11"/>
      <color theme="1"/>
      <name val="Calibri"/>
      <family val="2"/>
    </font>
    <font>
      <sz val="11"/>
      <name val="Calibri"/>
      <family val="2"/>
      <scheme val="minor"/>
    </font>
    <font>
      <sz val="9.9"/>
      <color theme="1"/>
      <name val="Calibri"/>
      <family val="2"/>
    </font>
    <font>
      <sz val="9.9"/>
      <color theme="1"/>
      <name val="Aptos Narrow"/>
      <family val="2"/>
    </font>
    <font>
      <sz val="11"/>
      <color theme="1"/>
      <name val="Aptos Narrow"/>
      <family val="2"/>
    </font>
    <font>
      <b/>
      <sz val="11"/>
      <color theme="1"/>
      <name val="Calibri"/>
      <family val="2"/>
    </font>
    <font>
      <b/>
      <sz val="12"/>
      <color theme="1"/>
      <name val="Calibri"/>
      <family val="2"/>
      <scheme val="minor"/>
    </font>
    <font>
      <b/>
      <u/>
      <sz val="11"/>
      <color theme="1"/>
      <name val="Calibri"/>
      <family val="2"/>
    </font>
  </fonts>
  <fills count="5">
    <fill>
      <patternFill patternType="none"/>
    </fill>
    <fill>
      <patternFill patternType="gray125"/>
    </fill>
    <fill>
      <patternFill patternType="solid">
        <fgColor theme="9" tint="0.59999389629810485"/>
        <bgColor indexed="64"/>
      </patternFill>
    </fill>
    <fill>
      <patternFill patternType="solid">
        <fgColor theme="7" tint="0.39997558519241921"/>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s>
  <cellStyleXfs count="1">
    <xf numFmtId="0" fontId="0" fillId="0" borderId="0"/>
  </cellStyleXfs>
  <cellXfs count="76">
    <xf numFmtId="0" fontId="0" fillId="0" borderId="0" xfId="0"/>
    <xf numFmtId="0" fontId="1" fillId="0" borderId="0" xfId="0" applyFont="1"/>
    <xf numFmtId="0" fontId="0" fillId="0" borderId="1" xfId="0" applyBorder="1"/>
    <xf numFmtId="0" fontId="0" fillId="2" borderId="1" xfId="0" applyFill="1" applyBorder="1"/>
    <xf numFmtId="0" fontId="0" fillId="3" borderId="1" xfId="0" applyFill="1" applyBorder="1"/>
    <xf numFmtId="0" fontId="0" fillId="2" borderId="0" xfId="0" applyFill="1"/>
    <xf numFmtId="0" fontId="0" fillId="3" borderId="0" xfId="0" applyFill="1"/>
    <xf numFmtId="0" fontId="0" fillId="4" borderId="0" xfId="0" applyFill="1"/>
    <xf numFmtId="0" fontId="3" fillId="4" borderId="0" xfId="0" applyFont="1" applyFill="1"/>
    <xf numFmtId="0" fontId="0" fillId="4" borderId="1" xfId="0" applyFill="1" applyBorder="1"/>
    <xf numFmtId="0" fontId="0" fillId="4" borderId="1" xfId="0" applyFill="1" applyBorder="1" applyAlignment="1">
      <alignment horizontal="center"/>
    </xf>
    <xf numFmtId="0" fontId="2" fillId="0" borderId="0" xfId="0" applyFont="1"/>
    <xf numFmtId="0" fontId="0" fillId="4" borderId="19" xfId="0" applyFill="1" applyBorder="1"/>
    <xf numFmtId="0" fontId="0" fillId="4" borderId="20" xfId="0" applyFill="1" applyBorder="1"/>
    <xf numFmtId="0" fontId="0" fillId="4" borderId="21" xfId="0" applyFill="1" applyBorder="1"/>
    <xf numFmtId="0" fontId="0" fillId="4" borderId="22" xfId="0" applyFill="1" applyBorder="1"/>
    <xf numFmtId="0" fontId="1" fillId="4" borderId="0" xfId="0" applyFont="1" applyFill="1"/>
    <xf numFmtId="0" fontId="2" fillId="4" borderId="0" xfId="0" applyFont="1" applyFill="1"/>
    <xf numFmtId="0" fontId="1" fillId="4" borderId="1" xfId="0" applyFont="1" applyFill="1" applyBorder="1"/>
    <xf numFmtId="0" fontId="1" fillId="0" borderId="1" xfId="0" applyFont="1" applyBorder="1"/>
    <xf numFmtId="0" fontId="1" fillId="4" borderId="2" xfId="0" applyFont="1" applyFill="1" applyBorder="1" applyAlignment="1">
      <alignment horizontal="center" vertical="center"/>
    </xf>
    <xf numFmtId="0" fontId="0" fillId="4" borderId="0" xfId="0" applyFill="1" applyAlignment="1">
      <alignment vertical="top" wrapText="1"/>
    </xf>
    <xf numFmtId="0" fontId="10" fillId="4" borderId="0" xfId="0" applyFont="1" applyFill="1"/>
    <xf numFmtId="0" fontId="0" fillId="0" borderId="17" xfId="0" applyBorder="1"/>
    <xf numFmtId="0" fontId="0" fillId="0" borderId="23" xfId="0" applyBorder="1"/>
    <xf numFmtId="0" fontId="0" fillId="0" borderId="24" xfId="0" applyBorder="1"/>
    <xf numFmtId="49" fontId="0" fillId="0" borderId="1" xfId="0" applyNumberFormat="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2" fontId="0" fillId="0" borderId="1" xfId="0" applyNumberFormat="1" applyBorder="1"/>
    <xf numFmtId="0" fontId="1" fillId="0" borderId="1" xfId="0" applyFont="1" applyBorder="1" applyAlignment="1">
      <alignment horizontal="center"/>
    </xf>
    <xf numFmtId="0" fontId="1" fillId="0" borderId="1" xfId="0" applyFont="1" applyBorder="1" applyAlignment="1">
      <alignment wrapText="1"/>
    </xf>
    <xf numFmtId="0" fontId="1" fillId="4" borderId="1" xfId="0" applyFont="1" applyFill="1" applyBorder="1" applyAlignment="1">
      <alignment horizontal="center"/>
    </xf>
    <xf numFmtId="0" fontId="1" fillId="0" borderId="19" xfId="0" applyFont="1" applyBorder="1"/>
    <xf numFmtId="0" fontId="1" fillId="0" borderId="20" xfId="0" applyFont="1" applyBorder="1"/>
    <xf numFmtId="0" fontId="1" fillId="0" borderId="22" xfId="0" applyFont="1" applyBorder="1"/>
    <xf numFmtId="0" fontId="1" fillId="0" borderId="21" xfId="0" applyFont="1" applyBorder="1"/>
    <xf numFmtId="49" fontId="1" fillId="0" borderId="20" xfId="0" applyNumberFormat="1" applyFont="1" applyBorder="1"/>
    <xf numFmtId="0" fontId="1" fillId="0" borderId="17" xfId="0" applyFont="1" applyBorder="1"/>
    <xf numFmtId="0" fontId="1" fillId="0" borderId="18" xfId="0" applyFont="1" applyBorder="1"/>
    <xf numFmtId="0" fontId="1" fillId="0" borderId="2" xfId="0" applyFont="1" applyBorder="1"/>
    <xf numFmtId="0" fontId="1" fillId="0" borderId="34" xfId="0" applyFont="1" applyBorder="1"/>
    <xf numFmtId="0" fontId="1" fillId="0" borderId="35" xfId="0" applyFont="1" applyBorder="1"/>
    <xf numFmtId="0" fontId="1" fillId="0" borderId="36" xfId="0" applyFont="1" applyBorder="1"/>
    <xf numFmtId="0" fontId="1" fillId="4" borderId="2" xfId="0" applyFont="1" applyFill="1" applyBorder="1"/>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0" xfId="0" applyFill="1" applyAlignment="1">
      <alignment horizontal="left" vertical="top" wrapText="1"/>
    </xf>
    <xf numFmtId="0" fontId="0" fillId="4" borderId="7" xfId="0" applyFill="1" applyBorder="1" applyAlignment="1">
      <alignment horizontal="left" vertical="top" wrapText="1"/>
    </xf>
    <xf numFmtId="0" fontId="0" fillId="4" borderId="8" xfId="0" applyFill="1" applyBorder="1" applyAlignment="1">
      <alignment horizontal="left" vertical="top" wrapText="1"/>
    </xf>
    <xf numFmtId="0" fontId="0" fillId="4" borderId="9" xfId="0" applyFill="1" applyBorder="1" applyAlignment="1">
      <alignment horizontal="left" vertical="top" wrapText="1"/>
    </xf>
    <xf numFmtId="0" fontId="0" fillId="4" borderId="10" xfId="0" applyFill="1" applyBorder="1" applyAlignment="1">
      <alignment horizontal="left" vertical="top" wrapText="1"/>
    </xf>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1" xfId="0" applyFont="1" applyFill="1" applyBorder="1" applyAlignment="1">
      <alignment horizontal="center"/>
    </xf>
    <xf numFmtId="0" fontId="1" fillId="4" borderId="12" xfId="0" applyFont="1" applyFill="1" applyBorder="1" applyAlignment="1">
      <alignment horizontal="center"/>
    </xf>
    <xf numFmtId="0" fontId="1" fillId="4" borderId="13" xfId="0" applyFont="1" applyFill="1" applyBorder="1" applyAlignment="1">
      <alignment horizontal="center"/>
    </xf>
    <xf numFmtId="0" fontId="1" fillId="0" borderId="1" xfId="0" applyFont="1" applyBorder="1" applyAlignment="1">
      <alignment horizontal="center"/>
    </xf>
    <xf numFmtId="0" fontId="1" fillId="4" borderId="17" xfId="0" applyFont="1" applyFill="1" applyBorder="1" applyAlignment="1">
      <alignment horizontal="center"/>
    </xf>
    <xf numFmtId="0" fontId="1" fillId="4" borderId="18" xfId="0" applyFont="1" applyFill="1" applyBorder="1" applyAlignment="1">
      <alignment horizontal="center"/>
    </xf>
    <xf numFmtId="49" fontId="1" fillId="0" borderId="3" xfId="0" applyNumberFormat="1" applyFont="1" applyBorder="1" applyAlignment="1">
      <alignment horizontal="center"/>
    </xf>
    <xf numFmtId="49" fontId="1" fillId="0" borderId="4" xfId="0" applyNumberFormat="1" applyFont="1" applyBorder="1" applyAlignment="1">
      <alignment horizontal="center"/>
    </xf>
    <xf numFmtId="49" fontId="1" fillId="0" borderId="5" xfId="0" applyNumberFormat="1"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2" fillId="4" borderId="0" xfId="0" applyFont="1" applyFill="1" applyAlignment="1">
      <alignment horizontal="left" wrapText="1"/>
    </xf>
    <xf numFmtId="0" fontId="1" fillId="0" borderId="3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3884-AFCF-44C7-B24E-19FC6DBAFCC8}">
  <dimension ref="A1:Z94"/>
  <sheetViews>
    <sheetView zoomScale="90" zoomScaleNormal="90" workbookViewId="0">
      <selection activeCell="A15" sqref="A15"/>
    </sheetView>
  </sheetViews>
  <sheetFormatPr defaultRowHeight="14.5" x14ac:dyDescent="0.35"/>
  <cols>
    <col min="1" max="16384" width="8.7265625" style="7"/>
  </cols>
  <sheetData>
    <row r="1" spans="1:26" ht="18.5" x14ac:dyDescent="0.45">
      <c r="A1" s="8" t="s">
        <v>20</v>
      </c>
    </row>
    <row r="2" spans="1:26" ht="15.5" x14ac:dyDescent="0.35">
      <c r="A2" s="22" t="s">
        <v>99</v>
      </c>
    </row>
    <row r="3" spans="1:26" ht="19" thickBot="1" x14ac:dyDescent="0.5">
      <c r="A3" s="8"/>
    </row>
    <row r="4" spans="1:26" ht="15" thickBot="1" x14ac:dyDescent="0.4">
      <c r="B4" s="20" t="s">
        <v>78</v>
      </c>
      <c r="C4" s="63" t="s">
        <v>21</v>
      </c>
      <c r="D4" s="64"/>
      <c r="E4" s="64"/>
      <c r="F4" s="64"/>
      <c r="G4" s="64"/>
      <c r="H4" s="64"/>
      <c r="I4" s="64"/>
      <c r="J4" s="64"/>
      <c r="K4" s="64"/>
      <c r="L4" s="64"/>
      <c r="M4" s="64"/>
      <c r="N4" s="64"/>
      <c r="O4" s="64"/>
      <c r="P4" s="64"/>
      <c r="Q4" s="64"/>
      <c r="R4" s="64"/>
      <c r="S4" s="64"/>
      <c r="T4" s="64"/>
      <c r="U4" s="64"/>
      <c r="V4" s="64"/>
      <c r="W4" s="65"/>
    </row>
    <row r="5" spans="1:26" ht="14.5" customHeight="1" x14ac:dyDescent="0.35">
      <c r="B5" s="60">
        <v>1</v>
      </c>
      <c r="C5" s="51" t="s">
        <v>97</v>
      </c>
      <c r="D5" s="52"/>
      <c r="E5" s="52"/>
      <c r="F5" s="52"/>
      <c r="G5" s="52"/>
      <c r="H5" s="52"/>
      <c r="I5" s="52"/>
      <c r="J5" s="52"/>
      <c r="K5" s="52"/>
      <c r="L5" s="52"/>
      <c r="M5" s="52"/>
      <c r="N5" s="52"/>
      <c r="O5" s="52"/>
      <c r="P5" s="52"/>
      <c r="Q5" s="52"/>
      <c r="R5" s="52"/>
      <c r="S5" s="52"/>
      <c r="T5" s="52"/>
      <c r="U5" s="52"/>
      <c r="V5" s="52"/>
      <c r="W5" s="53"/>
      <c r="X5" s="21"/>
      <c r="Y5" s="21"/>
      <c r="Z5" s="21"/>
    </row>
    <row r="6" spans="1:26" ht="14.5" customHeight="1" x14ac:dyDescent="0.35">
      <c r="B6" s="61"/>
      <c r="C6" s="54"/>
      <c r="D6" s="55"/>
      <c r="E6" s="55"/>
      <c r="F6" s="55"/>
      <c r="G6" s="55"/>
      <c r="H6" s="55"/>
      <c r="I6" s="55"/>
      <c r="J6" s="55"/>
      <c r="K6" s="55"/>
      <c r="L6" s="55"/>
      <c r="M6" s="55"/>
      <c r="N6" s="55"/>
      <c r="O6" s="55"/>
      <c r="P6" s="55"/>
      <c r="Q6" s="55"/>
      <c r="R6" s="55"/>
      <c r="S6" s="55"/>
      <c r="T6" s="55"/>
      <c r="U6" s="55"/>
      <c r="V6" s="55"/>
      <c r="W6" s="56"/>
      <c r="X6" s="21"/>
      <c r="Y6" s="21"/>
      <c r="Z6" s="21"/>
    </row>
    <row r="7" spans="1:26" x14ac:dyDescent="0.35">
      <c r="B7" s="61"/>
      <c r="C7" s="54"/>
      <c r="D7" s="55"/>
      <c r="E7" s="55"/>
      <c r="F7" s="55"/>
      <c r="G7" s="55"/>
      <c r="H7" s="55"/>
      <c r="I7" s="55"/>
      <c r="J7" s="55"/>
      <c r="K7" s="55"/>
      <c r="L7" s="55"/>
      <c r="M7" s="55"/>
      <c r="N7" s="55"/>
      <c r="O7" s="55"/>
      <c r="P7" s="55"/>
      <c r="Q7" s="55"/>
      <c r="R7" s="55"/>
      <c r="S7" s="55"/>
      <c r="T7" s="55"/>
      <c r="U7" s="55"/>
      <c r="V7" s="55"/>
      <c r="W7" s="56"/>
      <c r="X7" s="21"/>
      <c r="Y7" s="21"/>
      <c r="Z7" s="21"/>
    </row>
    <row r="8" spans="1:26" x14ac:dyDescent="0.35">
      <c r="B8" s="61"/>
      <c r="C8" s="54"/>
      <c r="D8" s="55"/>
      <c r="E8" s="55"/>
      <c r="F8" s="55"/>
      <c r="G8" s="55"/>
      <c r="H8" s="55"/>
      <c r="I8" s="55"/>
      <c r="J8" s="55"/>
      <c r="K8" s="55"/>
      <c r="L8" s="55"/>
      <c r="M8" s="55"/>
      <c r="N8" s="55"/>
      <c r="O8" s="55"/>
      <c r="P8" s="55"/>
      <c r="Q8" s="55"/>
      <c r="R8" s="55"/>
      <c r="S8" s="55"/>
      <c r="T8" s="55"/>
      <c r="U8" s="55"/>
      <c r="V8" s="55"/>
      <c r="W8" s="56"/>
      <c r="X8" s="21"/>
      <c r="Y8" s="21"/>
      <c r="Z8" s="21"/>
    </row>
    <row r="9" spans="1:26" x14ac:dyDescent="0.35">
      <c r="B9" s="61"/>
      <c r="C9" s="54"/>
      <c r="D9" s="55"/>
      <c r="E9" s="55"/>
      <c r="F9" s="55"/>
      <c r="G9" s="55"/>
      <c r="H9" s="55"/>
      <c r="I9" s="55"/>
      <c r="J9" s="55"/>
      <c r="K9" s="55"/>
      <c r="L9" s="55"/>
      <c r="M9" s="55"/>
      <c r="N9" s="55"/>
      <c r="O9" s="55"/>
      <c r="P9" s="55"/>
      <c r="Q9" s="55"/>
      <c r="R9" s="55"/>
      <c r="S9" s="55"/>
      <c r="T9" s="55"/>
      <c r="U9" s="55"/>
      <c r="V9" s="55"/>
      <c r="W9" s="56"/>
      <c r="X9" s="21"/>
      <c r="Y9" s="21"/>
      <c r="Z9" s="21"/>
    </row>
    <row r="10" spans="1:26" x14ac:dyDescent="0.35">
      <c r="B10" s="61"/>
      <c r="C10" s="54"/>
      <c r="D10" s="55"/>
      <c r="E10" s="55"/>
      <c r="F10" s="55"/>
      <c r="G10" s="55"/>
      <c r="H10" s="55"/>
      <c r="I10" s="55"/>
      <c r="J10" s="55"/>
      <c r="K10" s="55"/>
      <c r="L10" s="55"/>
      <c r="M10" s="55"/>
      <c r="N10" s="55"/>
      <c r="O10" s="55"/>
      <c r="P10" s="55"/>
      <c r="Q10" s="55"/>
      <c r="R10" s="55"/>
      <c r="S10" s="55"/>
      <c r="T10" s="55"/>
      <c r="U10" s="55"/>
      <c r="V10" s="55"/>
      <c r="W10" s="56"/>
      <c r="X10" s="21"/>
      <c r="Y10" s="21"/>
      <c r="Z10" s="21"/>
    </row>
    <row r="11" spans="1:26" ht="14.5" customHeight="1" thickBot="1" x14ac:dyDescent="0.4">
      <c r="B11" s="62"/>
      <c r="C11" s="57"/>
      <c r="D11" s="58"/>
      <c r="E11" s="58"/>
      <c r="F11" s="58"/>
      <c r="G11" s="58"/>
      <c r="H11" s="58"/>
      <c r="I11" s="58"/>
      <c r="J11" s="58"/>
      <c r="K11" s="58"/>
      <c r="L11" s="58"/>
      <c r="M11" s="58"/>
      <c r="N11" s="58"/>
      <c r="O11" s="58"/>
      <c r="P11" s="58"/>
      <c r="Q11" s="58"/>
      <c r="R11" s="58"/>
      <c r="S11" s="58"/>
      <c r="T11" s="58"/>
      <c r="U11" s="58"/>
      <c r="V11" s="58"/>
      <c r="W11" s="59"/>
      <c r="X11" s="21"/>
      <c r="Y11" s="21"/>
      <c r="Z11" s="21"/>
    </row>
    <row r="12" spans="1:26" ht="14.5" customHeight="1" x14ac:dyDescent="0.35">
      <c r="B12" s="60">
        <v>2</v>
      </c>
      <c r="C12" s="51" t="s">
        <v>98</v>
      </c>
      <c r="D12" s="52"/>
      <c r="E12" s="52"/>
      <c r="F12" s="52"/>
      <c r="G12" s="52"/>
      <c r="H12" s="52"/>
      <c r="I12" s="52"/>
      <c r="J12" s="52"/>
      <c r="K12" s="52"/>
      <c r="L12" s="52"/>
      <c r="M12" s="52"/>
      <c r="N12" s="52"/>
      <c r="O12" s="52"/>
      <c r="P12" s="52"/>
      <c r="Q12" s="52"/>
      <c r="R12" s="52"/>
      <c r="S12" s="52"/>
      <c r="T12" s="52"/>
      <c r="U12" s="52"/>
      <c r="V12" s="52"/>
      <c r="W12" s="53"/>
      <c r="X12" s="21"/>
      <c r="Y12" s="21"/>
      <c r="Z12" s="21"/>
    </row>
    <row r="13" spans="1:26" x14ac:dyDescent="0.35">
      <c r="B13" s="61"/>
      <c r="C13" s="54"/>
      <c r="D13" s="55"/>
      <c r="E13" s="55"/>
      <c r="F13" s="55"/>
      <c r="G13" s="55"/>
      <c r="H13" s="55"/>
      <c r="I13" s="55"/>
      <c r="J13" s="55"/>
      <c r="K13" s="55"/>
      <c r="L13" s="55"/>
      <c r="M13" s="55"/>
      <c r="N13" s="55"/>
      <c r="O13" s="55"/>
      <c r="P13" s="55"/>
      <c r="Q13" s="55"/>
      <c r="R13" s="55"/>
      <c r="S13" s="55"/>
      <c r="T13" s="55"/>
      <c r="U13" s="55"/>
      <c r="V13" s="55"/>
      <c r="W13" s="56"/>
      <c r="X13" s="21"/>
      <c r="Y13" s="21"/>
      <c r="Z13" s="21"/>
    </row>
    <row r="14" spans="1:26" x14ac:dyDescent="0.35">
      <c r="B14" s="61"/>
      <c r="C14" s="54"/>
      <c r="D14" s="55"/>
      <c r="E14" s="55"/>
      <c r="F14" s="55"/>
      <c r="G14" s="55"/>
      <c r="H14" s="55"/>
      <c r="I14" s="55"/>
      <c r="J14" s="55"/>
      <c r="K14" s="55"/>
      <c r="L14" s="55"/>
      <c r="M14" s="55"/>
      <c r="N14" s="55"/>
      <c r="O14" s="55"/>
      <c r="P14" s="55"/>
      <c r="Q14" s="55"/>
      <c r="R14" s="55"/>
      <c r="S14" s="55"/>
      <c r="T14" s="55"/>
      <c r="U14" s="55"/>
      <c r="V14" s="55"/>
      <c r="W14" s="56"/>
      <c r="X14" s="21"/>
      <c r="Y14" s="21"/>
      <c r="Z14" s="21"/>
    </row>
    <row r="15" spans="1:26" x14ac:dyDescent="0.35">
      <c r="B15" s="61"/>
      <c r="C15" s="54"/>
      <c r="D15" s="55"/>
      <c r="E15" s="55"/>
      <c r="F15" s="55"/>
      <c r="G15" s="55"/>
      <c r="H15" s="55"/>
      <c r="I15" s="55"/>
      <c r="J15" s="55"/>
      <c r="K15" s="55"/>
      <c r="L15" s="55"/>
      <c r="M15" s="55"/>
      <c r="N15" s="55"/>
      <c r="O15" s="55"/>
      <c r="P15" s="55"/>
      <c r="Q15" s="55"/>
      <c r="R15" s="55"/>
      <c r="S15" s="55"/>
      <c r="T15" s="55"/>
      <c r="U15" s="55"/>
      <c r="V15" s="55"/>
      <c r="W15" s="56"/>
      <c r="X15" s="21"/>
      <c r="Y15" s="21"/>
      <c r="Z15" s="21"/>
    </row>
    <row r="16" spans="1:26" ht="14.5" customHeight="1" x14ac:dyDescent="0.35">
      <c r="B16" s="61"/>
      <c r="C16" s="54"/>
      <c r="D16" s="55"/>
      <c r="E16" s="55"/>
      <c r="F16" s="55"/>
      <c r="G16" s="55"/>
      <c r="H16" s="55"/>
      <c r="I16" s="55"/>
      <c r="J16" s="55"/>
      <c r="K16" s="55"/>
      <c r="L16" s="55"/>
      <c r="M16" s="55"/>
      <c r="N16" s="55"/>
      <c r="O16" s="55"/>
      <c r="P16" s="55"/>
      <c r="Q16" s="55"/>
      <c r="R16" s="55"/>
      <c r="S16" s="55"/>
      <c r="T16" s="55"/>
      <c r="U16" s="55"/>
      <c r="V16" s="55"/>
      <c r="W16" s="56"/>
    </row>
    <row r="17" spans="2:23" x14ac:dyDescent="0.35">
      <c r="B17" s="61"/>
      <c r="C17" s="54"/>
      <c r="D17" s="55"/>
      <c r="E17" s="55"/>
      <c r="F17" s="55"/>
      <c r="G17" s="55"/>
      <c r="H17" s="55"/>
      <c r="I17" s="55"/>
      <c r="J17" s="55"/>
      <c r="K17" s="55"/>
      <c r="L17" s="55"/>
      <c r="M17" s="55"/>
      <c r="N17" s="55"/>
      <c r="O17" s="55"/>
      <c r="P17" s="55"/>
      <c r="Q17" s="55"/>
      <c r="R17" s="55"/>
      <c r="S17" s="55"/>
      <c r="T17" s="55"/>
      <c r="U17" s="55"/>
      <c r="V17" s="55"/>
      <c r="W17" s="56"/>
    </row>
    <row r="18" spans="2:23" x14ac:dyDescent="0.35">
      <c r="B18" s="61"/>
      <c r="C18" s="54"/>
      <c r="D18" s="55"/>
      <c r="E18" s="55"/>
      <c r="F18" s="55"/>
      <c r="G18" s="55"/>
      <c r="H18" s="55"/>
      <c r="I18" s="55"/>
      <c r="J18" s="55"/>
      <c r="K18" s="55"/>
      <c r="L18" s="55"/>
      <c r="M18" s="55"/>
      <c r="N18" s="55"/>
      <c r="O18" s="55"/>
      <c r="P18" s="55"/>
      <c r="Q18" s="55"/>
      <c r="R18" s="55"/>
      <c r="S18" s="55"/>
      <c r="T18" s="55"/>
      <c r="U18" s="55"/>
      <c r="V18" s="55"/>
      <c r="W18" s="56"/>
    </row>
    <row r="19" spans="2:23" x14ac:dyDescent="0.35">
      <c r="B19" s="61"/>
      <c r="C19" s="54"/>
      <c r="D19" s="55"/>
      <c r="E19" s="55"/>
      <c r="F19" s="55"/>
      <c r="G19" s="55"/>
      <c r="H19" s="55"/>
      <c r="I19" s="55"/>
      <c r="J19" s="55"/>
      <c r="K19" s="55"/>
      <c r="L19" s="55"/>
      <c r="M19" s="55"/>
      <c r="N19" s="55"/>
      <c r="O19" s="55"/>
      <c r="P19" s="55"/>
      <c r="Q19" s="55"/>
      <c r="R19" s="55"/>
      <c r="S19" s="55"/>
      <c r="T19" s="55"/>
      <c r="U19" s="55"/>
      <c r="V19" s="55"/>
      <c r="W19" s="56"/>
    </row>
    <row r="20" spans="2:23" ht="14.5" customHeight="1" x14ac:dyDescent="0.35">
      <c r="B20" s="61"/>
      <c r="C20" s="54"/>
      <c r="D20" s="55"/>
      <c r="E20" s="55"/>
      <c r="F20" s="55"/>
      <c r="G20" s="55"/>
      <c r="H20" s="55"/>
      <c r="I20" s="55"/>
      <c r="J20" s="55"/>
      <c r="K20" s="55"/>
      <c r="L20" s="55"/>
      <c r="M20" s="55"/>
      <c r="N20" s="55"/>
      <c r="O20" s="55"/>
      <c r="P20" s="55"/>
      <c r="Q20" s="55"/>
      <c r="R20" s="55"/>
      <c r="S20" s="55"/>
      <c r="T20" s="55"/>
      <c r="U20" s="55"/>
      <c r="V20" s="55"/>
      <c r="W20" s="56"/>
    </row>
    <row r="21" spans="2:23" x14ac:dyDescent="0.35">
      <c r="B21" s="61"/>
      <c r="C21" s="54"/>
      <c r="D21" s="55"/>
      <c r="E21" s="55"/>
      <c r="F21" s="55"/>
      <c r="G21" s="55"/>
      <c r="H21" s="55"/>
      <c r="I21" s="55"/>
      <c r="J21" s="55"/>
      <c r="K21" s="55"/>
      <c r="L21" s="55"/>
      <c r="M21" s="55"/>
      <c r="N21" s="55"/>
      <c r="O21" s="55"/>
      <c r="P21" s="55"/>
      <c r="Q21" s="55"/>
      <c r="R21" s="55"/>
      <c r="S21" s="55"/>
      <c r="T21" s="55"/>
      <c r="U21" s="55"/>
      <c r="V21" s="55"/>
      <c r="W21" s="56"/>
    </row>
    <row r="22" spans="2:23" ht="14.5" customHeight="1" x14ac:dyDescent="0.35">
      <c r="B22" s="61"/>
      <c r="C22" s="54"/>
      <c r="D22" s="55"/>
      <c r="E22" s="55"/>
      <c r="F22" s="55"/>
      <c r="G22" s="55"/>
      <c r="H22" s="55"/>
      <c r="I22" s="55"/>
      <c r="J22" s="55"/>
      <c r="K22" s="55"/>
      <c r="L22" s="55"/>
      <c r="M22" s="55"/>
      <c r="N22" s="55"/>
      <c r="O22" s="55"/>
      <c r="P22" s="55"/>
      <c r="Q22" s="55"/>
      <c r="R22" s="55"/>
      <c r="S22" s="55"/>
      <c r="T22" s="55"/>
      <c r="U22" s="55"/>
      <c r="V22" s="55"/>
      <c r="W22" s="56"/>
    </row>
    <row r="23" spans="2:23" ht="15" thickBot="1" x14ac:dyDescent="0.4">
      <c r="B23" s="62"/>
      <c r="C23" s="57"/>
      <c r="D23" s="58"/>
      <c r="E23" s="58"/>
      <c r="F23" s="58"/>
      <c r="G23" s="58"/>
      <c r="H23" s="58"/>
      <c r="I23" s="58"/>
      <c r="J23" s="58"/>
      <c r="K23" s="58"/>
      <c r="L23" s="58"/>
      <c r="M23" s="58"/>
      <c r="N23" s="58"/>
      <c r="O23" s="58"/>
      <c r="P23" s="58"/>
      <c r="Q23" s="58"/>
      <c r="R23" s="58"/>
      <c r="S23" s="58"/>
      <c r="T23" s="58"/>
      <c r="U23" s="58"/>
      <c r="V23" s="58"/>
      <c r="W23" s="59"/>
    </row>
    <row r="24" spans="2:23" ht="15" customHeight="1" x14ac:dyDescent="0.35">
      <c r="B24" s="60">
        <v>3</v>
      </c>
      <c r="C24" s="51" t="s">
        <v>96</v>
      </c>
      <c r="D24" s="52"/>
      <c r="E24" s="52"/>
      <c r="F24" s="52"/>
      <c r="G24" s="52"/>
      <c r="H24" s="52"/>
      <c r="I24" s="52"/>
      <c r="J24" s="52"/>
      <c r="K24" s="52"/>
      <c r="L24" s="52"/>
      <c r="M24" s="52"/>
      <c r="N24" s="52"/>
      <c r="O24" s="52"/>
      <c r="P24" s="52"/>
      <c r="Q24" s="52"/>
      <c r="R24" s="52"/>
      <c r="S24" s="52"/>
      <c r="T24" s="52"/>
      <c r="U24" s="52"/>
      <c r="V24" s="52"/>
      <c r="W24" s="53"/>
    </row>
    <row r="25" spans="2:23" x14ac:dyDescent="0.35">
      <c r="B25" s="61"/>
      <c r="C25" s="54"/>
      <c r="D25" s="55"/>
      <c r="E25" s="55"/>
      <c r="F25" s="55"/>
      <c r="G25" s="55"/>
      <c r="H25" s="55"/>
      <c r="I25" s="55"/>
      <c r="J25" s="55"/>
      <c r="K25" s="55"/>
      <c r="L25" s="55"/>
      <c r="M25" s="55"/>
      <c r="N25" s="55"/>
      <c r="O25" s="55"/>
      <c r="P25" s="55"/>
      <c r="Q25" s="55"/>
      <c r="R25" s="55"/>
      <c r="S25" s="55"/>
      <c r="T25" s="55"/>
      <c r="U25" s="55"/>
      <c r="V25" s="55"/>
      <c r="W25" s="56"/>
    </row>
    <row r="26" spans="2:23" x14ac:dyDescent="0.35">
      <c r="B26" s="61"/>
      <c r="C26" s="54"/>
      <c r="D26" s="55"/>
      <c r="E26" s="55"/>
      <c r="F26" s="55"/>
      <c r="G26" s="55"/>
      <c r="H26" s="55"/>
      <c r="I26" s="55"/>
      <c r="J26" s="55"/>
      <c r="K26" s="55"/>
      <c r="L26" s="55"/>
      <c r="M26" s="55"/>
      <c r="N26" s="55"/>
      <c r="O26" s="55"/>
      <c r="P26" s="55"/>
      <c r="Q26" s="55"/>
      <c r="R26" s="55"/>
      <c r="S26" s="55"/>
      <c r="T26" s="55"/>
      <c r="U26" s="55"/>
      <c r="V26" s="55"/>
      <c r="W26" s="56"/>
    </row>
    <row r="27" spans="2:23" x14ac:dyDescent="0.35">
      <c r="B27" s="61"/>
      <c r="C27" s="54"/>
      <c r="D27" s="55"/>
      <c r="E27" s="55"/>
      <c r="F27" s="55"/>
      <c r="G27" s="55"/>
      <c r="H27" s="55"/>
      <c r="I27" s="55"/>
      <c r="J27" s="55"/>
      <c r="K27" s="55"/>
      <c r="L27" s="55"/>
      <c r="M27" s="55"/>
      <c r="N27" s="55"/>
      <c r="O27" s="55"/>
      <c r="P27" s="55"/>
      <c r="Q27" s="55"/>
      <c r="R27" s="55"/>
      <c r="S27" s="55"/>
      <c r="T27" s="55"/>
      <c r="U27" s="55"/>
      <c r="V27" s="55"/>
      <c r="W27" s="56"/>
    </row>
    <row r="28" spans="2:23" x14ac:dyDescent="0.35">
      <c r="B28" s="61"/>
      <c r="C28" s="54"/>
      <c r="D28" s="55"/>
      <c r="E28" s="55"/>
      <c r="F28" s="55"/>
      <c r="G28" s="55"/>
      <c r="H28" s="55"/>
      <c r="I28" s="55"/>
      <c r="J28" s="55"/>
      <c r="K28" s="55"/>
      <c r="L28" s="55"/>
      <c r="M28" s="55"/>
      <c r="N28" s="55"/>
      <c r="O28" s="55"/>
      <c r="P28" s="55"/>
      <c r="Q28" s="55"/>
      <c r="R28" s="55"/>
      <c r="S28" s="55"/>
      <c r="T28" s="55"/>
      <c r="U28" s="55"/>
      <c r="V28" s="55"/>
      <c r="W28" s="56"/>
    </row>
    <row r="29" spans="2:23" x14ac:dyDescent="0.35">
      <c r="B29" s="61"/>
      <c r="C29" s="54"/>
      <c r="D29" s="55"/>
      <c r="E29" s="55"/>
      <c r="F29" s="55"/>
      <c r="G29" s="55"/>
      <c r="H29" s="55"/>
      <c r="I29" s="55"/>
      <c r="J29" s="55"/>
      <c r="K29" s="55"/>
      <c r="L29" s="55"/>
      <c r="M29" s="55"/>
      <c r="N29" s="55"/>
      <c r="O29" s="55"/>
      <c r="P29" s="55"/>
      <c r="Q29" s="55"/>
      <c r="R29" s="55"/>
      <c r="S29" s="55"/>
      <c r="T29" s="55"/>
      <c r="U29" s="55"/>
      <c r="V29" s="55"/>
      <c r="W29" s="56"/>
    </row>
    <row r="30" spans="2:23" x14ac:dyDescent="0.35">
      <c r="B30" s="61"/>
      <c r="C30" s="54"/>
      <c r="D30" s="55"/>
      <c r="E30" s="55"/>
      <c r="F30" s="55"/>
      <c r="G30" s="55"/>
      <c r="H30" s="55"/>
      <c r="I30" s="55"/>
      <c r="J30" s="55"/>
      <c r="K30" s="55"/>
      <c r="L30" s="55"/>
      <c r="M30" s="55"/>
      <c r="N30" s="55"/>
      <c r="O30" s="55"/>
      <c r="P30" s="55"/>
      <c r="Q30" s="55"/>
      <c r="R30" s="55"/>
      <c r="S30" s="55"/>
      <c r="T30" s="55"/>
      <c r="U30" s="55"/>
      <c r="V30" s="55"/>
      <c r="W30" s="56"/>
    </row>
    <row r="31" spans="2:23" x14ac:dyDescent="0.35">
      <c r="B31" s="61"/>
      <c r="C31" s="54"/>
      <c r="D31" s="55"/>
      <c r="E31" s="55"/>
      <c r="F31" s="55"/>
      <c r="G31" s="55"/>
      <c r="H31" s="55"/>
      <c r="I31" s="55"/>
      <c r="J31" s="55"/>
      <c r="K31" s="55"/>
      <c r="L31" s="55"/>
      <c r="M31" s="55"/>
      <c r="N31" s="55"/>
      <c r="O31" s="55"/>
      <c r="P31" s="55"/>
      <c r="Q31" s="55"/>
      <c r="R31" s="55"/>
      <c r="S31" s="55"/>
      <c r="T31" s="55"/>
      <c r="U31" s="55"/>
      <c r="V31" s="55"/>
      <c r="W31" s="56"/>
    </row>
    <row r="32" spans="2:23" ht="15" thickBot="1" x14ac:dyDescent="0.4">
      <c r="B32" s="62"/>
      <c r="C32" s="57"/>
      <c r="D32" s="58"/>
      <c r="E32" s="58"/>
      <c r="F32" s="58"/>
      <c r="G32" s="58"/>
      <c r="H32" s="58"/>
      <c r="I32" s="58"/>
      <c r="J32" s="58"/>
      <c r="K32" s="58"/>
      <c r="L32" s="58"/>
      <c r="M32" s="58"/>
      <c r="N32" s="58"/>
      <c r="O32" s="58"/>
      <c r="P32" s="58"/>
      <c r="Q32" s="58"/>
      <c r="R32" s="58"/>
      <c r="S32" s="58"/>
      <c r="T32" s="58"/>
      <c r="U32" s="58"/>
      <c r="V32" s="58"/>
      <c r="W32" s="59"/>
    </row>
    <row r="33" spans="2:23" ht="14.5" customHeight="1" x14ac:dyDescent="0.35">
      <c r="B33" s="60">
        <v>4</v>
      </c>
      <c r="C33" s="51" t="s">
        <v>82</v>
      </c>
      <c r="D33" s="52"/>
      <c r="E33" s="52"/>
      <c r="F33" s="52"/>
      <c r="G33" s="52"/>
      <c r="H33" s="52"/>
      <c r="I33" s="52"/>
      <c r="J33" s="52"/>
      <c r="K33" s="52"/>
      <c r="L33" s="52"/>
      <c r="M33" s="52"/>
      <c r="N33" s="52"/>
      <c r="O33" s="52"/>
      <c r="P33" s="52"/>
      <c r="Q33" s="52"/>
      <c r="R33" s="52"/>
      <c r="S33" s="52"/>
      <c r="T33" s="52"/>
      <c r="U33" s="52"/>
      <c r="V33" s="52"/>
      <c r="W33" s="53"/>
    </row>
    <row r="34" spans="2:23" x14ac:dyDescent="0.35">
      <c r="B34" s="61"/>
      <c r="C34" s="54"/>
      <c r="D34" s="55"/>
      <c r="E34" s="55"/>
      <c r="F34" s="55"/>
      <c r="G34" s="55"/>
      <c r="H34" s="55"/>
      <c r="I34" s="55"/>
      <c r="J34" s="55"/>
      <c r="K34" s="55"/>
      <c r="L34" s="55"/>
      <c r="M34" s="55"/>
      <c r="N34" s="55"/>
      <c r="O34" s="55"/>
      <c r="P34" s="55"/>
      <c r="Q34" s="55"/>
      <c r="R34" s="55"/>
      <c r="S34" s="55"/>
      <c r="T34" s="55"/>
      <c r="U34" s="55"/>
      <c r="V34" s="55"/>
      <c r="W34" s="56"/>
    </row>
    <row r="35" spans="2:23" ht="14.5" customHeight="1" x14ac:dyDescent="0.35">
      <c r="B35" s="61"/>
      <c r="C35" s="54"/>
      <c r="D35" s="55"/>
      <c r="E35" s="55"/>
      <c r="F35" s="55"/>
      <c r="G35" s="55"/>
      <c r="H35" s="55"/>
      <c r="I35" s="55"/>
      <c r="J35" s="55"/>
      <c r="K35" s="55"/>
      <c r="L35" s="55"/>
      <c r="M35" s="55"/>
      <c r="N35" s="55"/>
      <c r="O35" s="55"/>
      <c r="P35" s="55"/>
      <c r="Q35" s="55"/>
      <c r="R35" s="55"/>
      <c r="S35" s="55"/>
      <c r="T35" s="55"/>
      <c r="U35" s="55"/>
      <c r="V35" s="55"/>
      <c r="W35" s="56"/>
    </row>
    <row r="36" spans="2:23" x14ac:dyDescent="0.35">
      <c r="B36" s="61"/>
      <c r="C36" s="54"/>
      <c r="D36" s="55"/>
      <c r="E36" s="55"/>
      <c r="F36" s="55"/>
      <c r="G36" s="55"/>
      <c r="H36" s="55"/>
      <c r="I36" s="55"/>
      <c r="J36" s="55"/>
      <c r="K36" s="55"/>
      <c r="L36" s="55"/>
      <c r="M36" s="55"/>
      <c r="N36" s="55"/>
      <c r="O36" s="55"/>
      <c r="P36" s="55"/>
      <c r="Q36" s="55"/>
      <c r="R36" s="55"/>
      <c r="S36" s="55"/>
      <c r="T36" s="55"/>
      <c r="U36" s="55"/>
      <c r="V36" s="55"/>
      <c r="W36" s="56"/>
    </row>
    <row r="37" spans="2:23" x14ac:dyDescent="0.35">
      <c r="B37" s="61"/>
      <c r="C37" s="54"/>
      <c r="D37" s="55"/>
      <c r="E37" s="55"/>
      <c r="F37" s="55"/>
      <c r="G37" s="55"/>
      <c r="H37" s="55"/>
      <c r="I37" s="55"/>
      <c r="J37" s="55"/>
      <c r="K37" s="55"/>
      <c r="L37" s="55"/>
      <c r="M37" s="55"/>
      <c r="N37" s="55"/>
      <c r="O37" s="55"/>
      <c r="P37" s="55"/>
      <c r="Q37" s="55"/>
      <c r="R37" s="55"/>
      <c r="S37" s="55"/>
      <c r="T37" s="55"/>
      <c r="U37" s="55"/>
      <c r="V37" s="55"/>
      <c r="W37" s="56"/>
    </row>
    <row r="38" spans="2:23" ht="15" thickBot="1" x14ac:dyDescent="0.4">
      <c r="B38" s="62"/>
      <c r="C38" s="57"/>
      <c r="D38" s="58"/>
      <c r="E38" s="58"/>
      <c r="F38" s="58"/>
      <c r="G38" s="58"/>
      <c r="H38" s="58"/>
      <c r="I38" s="58"/>
      <c r="J38" s="58"/>
      <c r="K38" s="58"/>
      <c r="L38" s="58"/>
      <c r="M38" s="58"/>
      <c r="N38" s="58"/>
      <c r="O38" s="58"/>
      <c r="P38" s="58"/>
      <c r="Q38" s="58"/>
      <c r="R38" s="58"/>
      <c r="S38" s="58"/>
      <c r="T38" s="58"/>
      <c r="U38" s="58"/>
      <c r="V38" s="58"/>
      <c r="W38" s="59"/>
    </row>
    <row r="39" spans="2:23" x14ac:dyDescent="0.35">
      <c r="B39" s="60">
        <v>5</v>
      </c>
      <c r="C39" s="51" t="s">
        <v>83</v>
      </c>
      <c r="D39" s="52"/>
      <c r="E39" s="52"/>
      <c r="F39" s="52"/>
      <c r="G39" s="52"/>
      <c r="H39" s="52"/>
      <c r="I39" s="52"/>
      <c r="J39" s="52"/>
      <c r="K39" s="52"/>
      <c r="L39" s="52"/>
      <c r="M39" s="52"/>
      <c r="N39" s="52"/>
      <c r="O39" s="52"/>
      <c r="P39" s="52"/>
      <c r="Q39" s="52"/>
      <c r="R39" s="52"/>
      <c r="S39" s="52"/>
      <c r="T39" s="52"/>
      <c r="U39" s="52"/>
      <c r="V39" s="52"/>
      <c r="W39" s="53"/>
    </row>
    <row r="40" spans="2:23" x14ac:dyDescent="0.35">
      <c r="B40" s="61"/>
      <c r="C40" s="54"/>
      <c r="D40" s="55"/>
      <c r="E40" s="55"/>
      <c r="F40" s="55"/>
      <c r="G40" s="55"/>
      <c r="H40" s="55"/>
      <c r="I40" s="55"/>
      <c r="J40" s="55"/>
      <c r="K40" s="55"/>
      <c r="L40" s="55"/>
      <c r="M40" s="55"/>
      <c r="N40" s="55"/>
      <c r="O40" s="55"/>
      <c r="P40" s="55"/>
      <c r="Q40" s="55"/>
      <c r="R40" s="55"/>
      <c r="S40" s="55"/>
      <c r="T40" s="55"/>
      <c r="U40" s="55"/>
      <c r="V40" s="55"/>
      <c r="W40" s="56"/>
    </row>
    <row r="41" spans="2:23" x14ac:dyDescent="0.35">
      <c r="B41" s="61"/>
      <c r="C41" s="54"/>
      <c r="D41" s="55"/>
      <c r="E41" s="55"/>
      <c r="F41" s="55"/>
      <c r="G41" s="55"/>
      <c r="H41" s="55"/>
      <c r="I41" s="55"/>
      <c r="J41" s="55"/>
      <c r="K41" s="55"/>
      <c r="L41" s="55"/>
      <c r="M41" s="55"/>
      <c r="N41" s="55"/>
      <c r="O41" s="55"/>
      <c r="P41" s="55"/>
      <c r="Q41" s="55"/>
      <c r="R41" s="55"/>
      <c r="S41" s="55"/>
      <c r="T41" s="55"/>
      <c r="U41" s="55"/>
      <c r="V41" s="55"/>
      <c r="W41" s="56"/>
    </row>
    <row r="42" spans="2:23" x14ac:dyDescent="0.35">
      <c r="B42" s="61"/>
      <c r="C42" s="54"/>
      <c r="D42" s="55"/>
      <c r="E42" s="55"/>
      <c r="F42" s="55"/>
      <c r="G42" s="55"/>
      <c r="H42" s="55"/>
      <c r="I42" s="55"/>
      <c r="J42" s="55"/>
      <c r="K42" s="55"/>
      <c r="L42" s="55"/>
      <c r="M42" s="55"/>
      <c r="N42" s="55"/>
      <c r="O42" s="55"/>
      <c r="P42" s="55"/>
      <c r="Q42" s="55"/>
      <c r="R42" s="55"/>
      <c r="S42" s="55"/>
      <c r="T42" s="55"/>
      <c r="U42" s="55"/>
      <c r="V42" s="55"/>
      <c r="W42" s="56"/>
    </row>
    <row r="43" spans="2:23" ht="15" thickBot="1" x14ac:dyDescent="0.4">
      <c r="B43" s="62"/>
      <c r="C43" s="57"/>
      <c r="D43" s="58"/>
      <c r="E43" s="58"/>
      <c r="F43" s="58"/>
      <c r="G43" s="58"/>
      <c r="H43" s="58"/>
      <c r="I43" s="58"/>
      <c r="J43" s="58"/>
      <c r="K43" s="58"/>
      <c r="L43" s="58"/>
      <c r="M43" s="58"/>
      <c r="N43" s="58"/>
      <c r="O43" s="58"/>
      <c r="P43" s="58"/>
      <c r="Q43" s="58"/>
      <c r="R43" s="58"/>
      <c r="S43" s="58"/>
      <c r="T43" s="58"/>
      <c r="U43" s="58"/>
      <c r="V43" s="58"/>
      <c r="W43" s="59"/>
    </row>
    <row r="44" spans="2:23" x14ac:dyDescent="0.35">
      <c r="B44" s="60">
        <v>6</v>
      </c>
      <c r="C44" s="51" t="s">
        <v>95</v>
      </c>
      <c r="D44" s="52"/>
      <c r="E44" s="52"/>
      <c r="F44" s="52"/>
      <c r="G44" s="52"/>
      <c r="H44" s="52"/>
      <c r="I44" s="52"/>
      <c r="J44" s="52"/>
      <c r="K44" s="52"/>
      <c r="L44" s="52"/>
      <c r="M44" s="52"/>
      <c r="N44" s="52"/>
      <c r="O44" s="52"/>
      <c r="P44" s="52"/>
      <c r="Q44" s="52"/>
      <c r="R44" s="52"/>
      <c r="S44" s="52"/>
      <c r="T44" s="52"/>
      <c r="U44" s="52"/>
      <c r="V44" s="52"/>
      <c r="W44" s="53"/>
    </row>
    <row r="45" spans="2:23" x14ac:dyDescent="0.35">
      <c r="B45" s="61"/>
      <c r="C45" s="54"/>
      <c r="D45" s="55"/>
      <c r="E45" s="55"/>
      <c r="F45" s="55"/>
      <c r="G45" s="55"/>
      <c r="H45" s="55"/>
      <c r="I45" s="55"/>
      <c r="J45" s="55"/>
      <c r="K45" s="55"/>
      <c r="L45" s="55"/>
      <c r="M45" s="55"/>
      <c r="N45" s="55"/>
      <c r="O45" s="55"/>
      <c r="P45" s="55"/>
      <c r="Q45" s="55"/>
      <c r="R45" s="55"/>
      <c r="S45" s="55"/>
      <c r="T45" s="55"/>
      <c r="U45" s="55"/>
      <c r="V45" s="55"/>
      <c r="W45" s="56"/>
    </row>
    <row r="46" spans="2:23" x14ac:dyDescent="0.35">
      <c r="B46" s="61"/>
      <c r="C46" s="54"/>
      <c r="D46" s="55"/>
      <c r="E46" s="55"/>
      <c r="F46" s="55"/>
      <c r="G46" s="55"/>
      <c r="H46" s="55"/>
      <c r="I46" s="55"/>
      <c r="J46" s="55"/>
      <c r="K46" s="55"/>
      <c r="L46" s="55"/>
      <c r="M46" s="55"/>
      <c r="N46" s="55"/>
      <c r="O46" s="55"/>
      <c r="P46" s="55"/>
      <c r="Q46" s="55"/>
      <c r="R46" s="55"/>
      <c r="S46" s="55"/>
      <c r="T46" s="55"/>
      <c r="U46" s="55"/>
      <c r="V46" s="55"/>
      <c r="W46" s="56"/>
    </row>
    <row r="47" spans="2:23" x14ac:dyDescent="0.35">
      <c r="B47" s="61"/>
      <c r="C47" s="54"/>
      <c r="D47" s="55"/>
      <c r="E47" s="55"/>
      <c r="F47" s="55"/>
      <c r="G47" s="55"/>
      <c r="H47" s="55"/>
      <c r="I47" s="55"/>
      <c r="J47" s="55"/>
      <c r="K47" s="55"/>
      <c r="L47" s="55"/>
      <c r="M47" s="55"/>
      <c r="N47" s="55"/>
      <c r="O47" s="55"/>
      <c r="P47" s="55"/>
      <c r="Q47" s="55"/>
      <c r="R47" s="55"/>
      <c r="S47" s="55"/>
      <c r="T47" s="55"/>
      <c r="U47" s="55"/>
      <c r="V47" s="55"/>
      <c r="W47" s="56"/>
    </row>
    <row r="48" spans="2:23" x14ac:dyDescent="0.35">
      <c r="B48" s="61"/>
      <c r="C48" s="54"/>
      <c r="D48" s="55"/>
      <c r="E48" s="55"/>
      <c r="F48" s="55"/>
      <c r="G48" s="55"/>
      <c r="H48" s="55"/>
      <c r="I48" s="55"/>
      <c r="J48" s="55"/>
      <c r="K48" s="55"/>
      <c r="L48" s="55"/>
      <c r="M48" s="55"/>
      <c r="N48" s="55"/>
      <c r="O48" s="55"/>
      <c r="P48" s="55"/>
      <c r="Q48" s="55"/>
      <c r="R48" s="55"/>
      <c r="S48" s="55"/>
      <c r="T48" s="55"/>
      <c r="U48" s="55"/>
      <c r="V48" s="55"/>
      <c r="W48" s="56"/>
    </row>
    <row r="49" spans="2:23" x14ac:dyDescent="0.35">
      <c r="B49" s="61"/>
      <c r="C49" s="54"/>
      <c r="D49" s="55"/>
      <c r="E49" s="55"/>
      <c r="F49" s="55"/>
      <c r="G49" s="55"/>
      <c r="H49" s="55"/>
      <c r="I49" s="55"/>
      <c r="J49" s="55"/>
      <c r="K49" s="55"/>
      <c r="L49" s="55"/>
      <c r="M49" s="55"/>
      <c r="N49" s="55"/>
      <c r="O49" s="55"/>
      <c r="P49" s="55"/>
      <c r="Q49" s="55"/>
      <c r="R49" s="55"/>
      <c r="S49" s="55"/>
      <c r="T49" s="55"/>
      <c r="U49" s="55"/>
      <c r="V49" s="55"/>
      <c r="W49" s="56"/>
    </row>
    <row r="50" spans="2:23" x14ac:dyDescent="0.35">
      <c r="B50" s="61"/>
      <c r="C50" s="54"/>
      <c r="D50" s="55"/>
      <c r="E50" s="55"/>
      <c r="F50" s="55"/>
      <c r="G50" s="55"/>
      <c r="H50" s="55"/>
      <c r="I50" s="55"/>
      <c r="J50" s="55"/>
      <c r="K50" s="55"/>
      <c r="L50" s="55"/>
      <c r="M50" s="55"/>
      <c r="N50" s="55"/>
      <c r="O50" s="55"/>
      <c r="P50" s="55"/>
      <c r="Q50" s="55"/>
      <c r="R50" s="55"/>
      <c r="S50" s="55"/>
      <c r="T50" s="55"/>
      <c r="U50" s="55"/>
      <c r="V50" s="55"/>
      <c r="W50" s="56"/>
    </row>
    <row r="51" spans="2:23" x14ac:dyDescent="0.35">
      <c r="B51" s="61"/>
      <c r="C51" s="54"/>
      <c r="D51" s="55"/>
      <c r="E51" s="55"/>
      <c r="F51" s="55"/>
      <c r="G51" s="55"/>
      <c r="H51" s="55"/>
      <c r="I51" s="55"/>
      <c r="J51" s="55"/>
      <c r="K51" s="55"/>
      <c r="L51" s="55"/>
      <c r="M51" s="55"/>
      <c r="N51" s="55"/>
      <c r="O51" s="55"/>
      <c r="P51" s="55"/>
      <c r="Q51" s="55"/>
      <c r="R51" s="55"/>
      <c r="S51" s="55"/>
      <c r="T51" s="55"/>
      <c r="U51" s="55"/>
      <c r="V51" s="55"/>
      <c r="W51" s="56"/>
    </row>
    <row r="52" spans="2:23" x14ac:dyDescent="0.35">
      <c r="B52" s="61"/>
      <c r="C52" s="54"/>
      <c r="D52" s="55"/>
      <c r="E52" s="55"/>
      <c r="F52" s="55"/>
      <c r="G52" s="55"/>
      <c r="H52" s="55"/>
      <c r="I52" s="55"/>
      <c r="J52" s="55"/>
      <c r="K52" s="55"/>
      <c r="L52" s="55"/>
      <c r="M52" s="55"/>
      <c r="N52" s="55"/>
      <c r="O52" s="55"/>
      <c r="P52" s="55"/>
      <c r="Q52" s="55"/>
      <c r="R52" s="55"/>
      <c r="S52" s="55"/>
      <c r="T52" s="55"/>
      <c r="U52" s="55"/>
      <c r="V52" s="55"/>
      <c r="W52" s="56"/>
    </row>
    <row r="53" spans="2:23" x14ac:dyDescent="0.35">
      <c r="B53" s="61"/>
      <c r="C53" s="54"/>
      <c r="D53" s="55"/>
      <c r="E53" s="55"/>
      <c r="F53" s="55"/>
      <c r="G53" s="55"/>
      <c r="H53" s="55"/>
      <c r="I53" s="55"/>
      <c r="J53" s="55"/>
      <c r="K53" s="55"/>
      <c r="L53" s="55"/>
      <c r="M53" s="55"/>
      <c r="N53" s="55"/>
      <c r="O53" s="55"/>
      <c r="P53" s="55"/>
      <c r="Q53" s="55"/>
      <c r="R53" s="55"/>
      <c r="S53" s="55"/>
      <c r="T53" s="55"/>
      <c r="U53" s="55"/>
      <c r="V53" s="55"/>
      <c r="W53" s="56"/>
    </row>
    <row r="54" spans="2:23" ht="15" thickBot="1" x14ac:dyDescent="0.4">
      <c r="B54" s="62"/>
      <c r="C54" s="57"/>
      <c r="D54" s="58"/>
      <c r="E54" s="58"/>
      <c r="F54" s="58"/>
      <c r="G54" s="58"/>
      <c r="H54" s="58"/>
      <c r="I54" s="58"/>
      <c r="J54" s="58"/>
      <c r="K54" s="58"/>
      <c r="L54" s="58"/>
      <c r="M54" s="58"/>
      <c r="N54" s="58"/>
      <c r="O54" s="58"/>
      <c r="P54" s="58"/>
      <c r="Q54" s="58"/>
      <c r="R54" s="58"/>
      <c r="S54" s="58"/>
      <c r="T54" s="58"/>
      <c r="U54" s="58"/>
      <c r="V54" s="58"/>
      <c r="W54" s="59"/>
    </row>
    <row r="55" spans="2:23" ht="14.5" customHeight="1" x14ac:dyDescent="0.35">
      <c r="B55" s="60">
        <v>7</v>
      </c>
      <c r="C55" s="51" t="s">
        <v>268</v>
      </c>
      <c r="D55" s="52"/>
      <c r="E55" s="52"/>
      <c r="F55" s="52"/>
      <c r="G55" s="52"/>
      <c r="H55" s="52"/>
      <c r="I55" s="52"/>
      <c r="J55" s="52"/>
      <c r="K55" s="52"/>
      <c r="L55" s="52"/>
      <c r="M55" s="52"/>
      <c r="N55" s="52"/>
      <c r="O55" s="52"/>
      <c r="P55" s="52"/>
      <c r="Q55" s="52"/>
      <c r="R55" s="52"/>
      <c r="S55" s="52"/>
      <c r="T55" s="52"/>
      <c r="U55" s="52"/>
      <c r="V55" s="52"/>
      <c r="W55" s="53"/>
    </row>
    <row r="56" spans="2:23" x14ac:dyDescent="0.35">
      <c r="B56" s="61"/>
      <c r="C56" s="54"/>
      <c r="D56" s="55"/>
      <c r="E56" s="55"/>
      <c r="F56" s="55"/>
      <c r="G56" s="55"/>
      <c r="H56" s="55"/>
      <c r="I56" s="55"/>
      <c r="J56" s="55"/>
      <c r="K56" s="55"/>
      <c r="L56" s="55"/>
      <c r="M56" s="55"/>
      <c r="N56" s="55"/>
      <c r="O56" s="55"/>
      <c r="P56" s="55"/>
      <c r="Q56" s="55"/>
      <c r="R56" s="55"/>
      <c r="S56" s="55"/>
      <c r="T56" s="55"/>
      <c r="U56" s="55"/>
      <c r="V56" s="55"/>
      <c r="W56" s="56"/>
    </row>
    <row r="57" spans="2:23" x14ac:dyDescent="0.35">
      <c r="B57" s="61"/>
      <c r="C57" s="54"/>
      <c r="D57" s="55"/>
      <c r="E57" s="55"/>
      <c r="F57" s="55"/>
      <c r="G57" s="55"/>
      <c r="H57" s="55"/>
      <c r="I57" s="55"/>
      <c r="J57" s="55"/>
      <c r="K57" s="55"/>
      <c r="L57" s="55"/>
      <c r="M57" s="55"/>
      <c r="N57" s="55"/>
      <c r="O57" s="55"/>
      <c r="P57" s="55"/>
      <c r="Q57" s="55"/>
      <c r="R57" s="55"/>
      <c r="S57" s="55"/>
      <c r="T57" s="55"/>
      <c r="U57" s="55"/>
      <c r="V57" s="55"/>
      <c r="W57" s="56"/>
    </row>
    <row r="58" spans="2:23" x14ac:dyDescent="0.35">
      <c r="B58" s="61"/>
      <c r="C58" s="54"/>
      <c r="D58" s="55"/>
      <c r="E58" s="55"/>
      <c r="F58" s="55"/>
      <c r="G58" s="55"/>
      <c r="H58" s="55"/>
      <c r="I58" s="55"/>
      <c r="J58" s="55"/>
      <c r="K58" s="55"/>
      <c r="L58" s="55"/>
      <c r="M58" s="55"/>
      <c r="N58" s="55"/>
      <c r="O58" s="55"/>
      <c r="P58" s="55"/>
      <c r="Q58" s="55"/>
      <c r="R58" s="55"/>
      <c r="S58" s="55"/>
      <c r="T58" s="55"/>
      <c r="U58" s="55"/>
      <c r="V58" s="55"/>
      <c r="W58" s="56"/>
    </row>
    <row r="59" spans="2:23" x14ac:dyDescent="0.35">
      <c r="B59" s="61"/>
      <c r="C59" s="54"/>
      <c r="D59" s="55"/>
      <c r="E59" s="55"/>
      <c r="F59" s="55"/>
      <c r="G59" s="55"/>
      <c r="H59" s="55"/>
      <c r="I59" s="55"/>
      <c r="J59" s="55"/>
      <c r="K59" s="55"/>
      <c r="L59" s="55"/>
      <c r="M59" s="55"/>
      <c r="N59" s="55"/>
      <c r="O59" s="55"/>
      <c r="P59" s="55"/>
      <c r="Q59" s="55"/>
      <c r="R59" s="55"/>
      <c r="S59" s="55"/>
      <c r="T59" s="55"/>
      <c r="U59" s="55"/>
      <c r="V59" s="55"/>
      <c r="W59" s="56"/>
    </row>
    <row r="60" spans="2:23" x14ac:dyDescent="0.35">
      <c r="B60" s="61"/>
      <c r="C60" s="54"/>
      <c r="D60" s="55"/>
      <c r="E60" s="55"/>
      <c r="F60" s="55"/>
      <c r="G60" s="55"/>
      <c r="H60" s="55"/>
      <c r="I60" s="55"/>
      <c r="J60" s="55"/>
      <c r="K60" s="55"/>
      <c r="L60" s="55"/>
      <c r="M60" s="55"/>
      <c r="N60" s="55"/>
      <c r="O60" s="55"/>
      <c r="P60" s="55"/>
      <c r="Q60" s="55"/>
      <c r="R60" s="55"/>
      <c r="S60" s="55"/>
      <c r="T60" s="55"/>
      <c r="U60" s="55"/>
      <c r="V60" s="55"/>
      <c r="W60" s="56"/>
    </row>
    <row r="61" spans="2:23" x14ac:dyDescent="0.35">
      <c r="B61" s="61"/>
      <c r="C61" s="54"/>
      <c r="D61" s="55"/>
      <c r="E61" s="55"/>
      <c r="F61" s="55"/>
      <c r="G61" s="55"/>
      <c r="H61" s="55"/>
      <c r="I61" s="55"/>
      <c r="J61" s="55"/>
      <c r="K61" s="55"/>
      <c r="L61" s="55"/>
      <c r="M61" s="55"/>
      <c r="N61" s="55"/>
      <c r="O61" s="55"/>
      <c r="P61" s="55"/>
      <c r="Q61" s="55"/>
      <c r="R61" s="55"/>
      <c r="S61" s="55"/>
      <c r="T61" s="55"/>
      <c r="U61" s="55"/>
      <c r="V61" s="55"/>
      <c r="W61" s="56"/>
    </row>
    <row r="62" spans="2:23" ht="15" thickBot="1" x14ac:dyDescent="0.4">
      <c r="B62" s="62"/>
      <c r="C62" s="57"/>
      <c r="D62" s="58"/>
      <c r="E62" s="58"/>
      <c r="F62" s="58"/>
      <c r="G62" s="58"/>
      <c r="H62" s="58"/>
      <c r="I62" s="58"/>
      <c r="J62" s="58"/>
      <c r="K62" s="58"/>
      <c r="L62" s="58"/>
      <c r="M62" s="58"/>
      <c r="N62" s="58"/>
      <c r="O62" s="58"/>
      <c r="P62" s="58"/>
      <c r="Q62" s="58"/>
      <c r="R62" s="58"/>
      <c r="S62" s="58"/>
      <c r="T62" s="58"/>
      <c r="U62" s="58"/>
      <c r="V62" s="58"/>
      <c r="W62" s="59"/>
    </row>
    <row r="63" spans="2:23" ht="14.5" customHeight="1" x14ac:dyDescent="0.35">
      <c r="B63" s="60">
        <v>8</v>
      </c>
      <c r="C63" s="51" t="s">
        <v>232</v>
      </c>
      <c r="D63" s="52"/>
      <c r="E63" s="52"/>
      <c r="F63" s="52"/>
      <c r="G63" s="52"/>
      <c r="H63" s="52"/>
      <c r="I63" s="52"/>
      <c r="J63" s="52"/>
      <c r="K63" s="52"/>
      <c r="L63" s="52"/>
      <c r="M63" s="52"/>
      <c r="N63" s="52"/>
      <c r="O63" s="52"/>
      <c r="P63" s="52"/>
      <c r="Q63" s="52"/>
      <c r="R63" s="52"/>
      <c r="S63" s="52"/>
      <c r="T63" s="52"/>
      <c r="U63" s="52"/>
      <c r="V63" s="52"/>
      <c r="W63" s="53"/>
    </row>
    <row r="64" spans="2:23" x14ac:dyDescent="0.35">
      <c r="B64" s="61"/>
      <c r="C64" s="54"/>
      <c r="D64" s="55"/>
      <c r="E64" s="55"/>
      <c r="F64" s="55"/>
      <c r="G64" s="55"/>
      <c r="H64" s="55"/>
      <c r="I64" s="55"/>
      <c r="J64" s="55"/>
      <c r="K64" s="55"/>
      <c r="L64" s="55"/>
      <c r="M64" s="55"/>
      <c r="N64" s="55"/>
      <c r="O64" s="55"/>
      <c r="P64" s="55"/>
      <c r="Q64" s="55"/>
      <c r="R64" s="55"/>
      <c r="S64" s="55"/>
      <c r="T64" s="55"/>
      <c r="U64" s="55"/>
      <c r="V64" s="55"/>
      <c r="W64" s="56"/>
    </row>
    <row r="65" spans="2:23" x14ac:dyDescent="0.35">
      <c r="B65" s="61"/>
      <c r="C65" s="54"/>
      <c r="D65" s="55"/>
      <c r="E65" s="55"/>
      <c r="F65" s="55"/>
      <c r="G65" s="55"/>
      <c r="H65" s="55"/>
      <c r="I65" s="55"/>
      <c r="J65" s="55"/>
      <c r="K65" s="55"/>
      <c r="L65" s="55"/>
      <c r="M65" s="55"/>
      <c r="N65" s="55"/>
      <c r="O65" s="55"/>
      <c r="P65" s="55"/>
      <c r="Q65" s="55"/>
      <c r="R65" s="55"/>
      <c r="S65" s="55"/>
      <c r="T65" s="55"/>
      <c r="U65" s="55"/>
      <c r="V65" s="55"/>
      <c r="W65" s="56"/>
    </row>
    <row r="66" spans="2:23" x14ac:dyDescent="0.35">
      <c r="B66" s="61"/>
      <c r="C66" s="54"/>
      <c r="D66" s="55"/>
      <c r="E66" s="55"/>
      <c r="F66" s="55"/>
      <c r="G66" s="55"/>
      <c r="H66" s="55"/>
      <c r="I66" s="55"/>
      <c r="J66" s="55"/>
      <c r="K66" s="55"/>
      <c r="L66" s="55"/>
      <c r="M66" s="55"/>
      <c r="N66" s="55"/>
      <c r="O66" s="55"/>
      <c r="P66" s="55"/>
      <c r="Q66" s="55"/>
      <c r="R66" s="55"/>
      <c r="S66" s="55"/>
      <c r="T66" s="55"/>
      <c r="U66" s="55"/>
      <c r="V66" s="55"/>
      <c r="W66" s="56"/>
    </row>
    <row r="67" spans="2:23" x14ac:dyDescent="0.35">
      <c r="B67" s="61"/>
      <c r="C67" s="54"/>
      <c r="D67" s="55"/>
      <c r="E67" s="55"/>
      <c r="F67" s="55"/>
      <c r="G67" s="55"/>
      <c r="H67" s="55"/>
      <c r="I67" s="55"/>
      <c r="J67" s="55"/>
      <c r="K67" s="55"/>
      <c r="L67" s="55"/>
      <c r="M67" s="55"/>
      <c r="N67" s="55"/>
      <c r="O67" s="55"/>
      <c r="P67" s="55"/>
      <c r="Q67" s="55"/>
      <c r="R67" s="55"/>
      <c r="S67" s="55"/>
      <c r="T67" s="55"/>
      <c r="U67" s="55"/>
      <c r="V67" s="55"/>
      <c r="W67" s="56"/>
    </row>
    <row r="68" spans="2:23" x14ac:dyDescent="0.35">
      <c r="B68" s="61"/>
      <c r="C68" s="54"/>
      <c r="D68" s="55"/>
      <c r="E68" s="55"/>
      <c r="F68" s="55"/>
      <c r="G68" s="55"/>
      <c r="H68" s="55"/>
      <c r="I68" s="55"/>
      <c r="J68" s="55"/>
      <c r="K68" s="55"/>
      <c r="L68" s="55"/>
      <c r="M68" s="55"/>
      <c r="N68" s="55"/>
      <c r="O68" s="55"/>
      <c r="P68" s="55"/>
      <c r="Q68" s="55"/>
      <c r="R68" s="55"/>
      <c r="S68" s="55"/>
      <c r="T68" s="55"/>
      <c r="U68" s="55"/>
      <c r="V68" s="55"/>
      <c r="W68" s="56"/>
    </row>
    <row r="69" spans="2:23" ht="15" thickBot="1" x14ac:dyDescent="0.4">
      <c r="B69" s="62"/>
      <c r="C69" s="57"/>
      <c r="D69" s="58"/>
      <c r="E69" s="58"/>
      <c r="F69" s="58"/>
      <c r="G69" s="58"/>
      <c r="H69" s="58"/>
      <c r="I69" s="58"/>
      <c r="J69" s="58"/>
      <c r="K69" s="58"/>
      <c r="L69" s="58"/>
      <c r="M69" s="58"/>
      <c r="N69" s="58"/>
      <c r="O69" s="58"/>
      <c r="P69" s="58"/>
      <c r="Q69" s="58"/>
      <c r="R69" s="58"/>
      <c r="S69" s="58"/>
      <c r="T69" s="58"/>
      <c r="U69" s="58"/>
      <c r="V69" s="58"/>
      <c r="W69" s="59"/>
    </row>
    <row r="70" spans="2:23" x14ac:dyDescent="0.35">
      <c r="B70" s="60">
        <v>9</v>
      </c>
      <c r="C70" s="51" t="s">
        <v>252</v>
      </c>
      <c r="D70" s="52"/>
      <c r="E70" s="52"/>
      <c r="F70" s="52"/>
      <c r="G70" s="52"/>
      <c r="H70" s="52"/>
      <c r="I70" s="52"/>
      <c r="J70" s="52"/>
      <c r="K70" s="52"/>
      <c r="L70" s="52"/>
      <c r="M70" s="52"/>
      <c r="N70" s="52"/>
      <c r="O70" s="52"/>
      <c r="P70" s="52"/>
      <c r="Q70" s="52"/>
      <c r="R70" s="52"/>
      <c r="S70" s="52"/>
      <c r="T70" s="52"/>
      <c r="U70" s="52"/>
      <c r="V70" s="52"/>
      <c r="W70" s="53"/>
    </row>
    <row r="71" spans="2:23" x14ac:dyDescent="0.35">
      <c r="B71" s="61"/>
      <c r="C71" s="54"/>
      <c r="D71" s="55"/>
      <c r="E71" s="55"/>
      <c r="F71" s="55"/>
      <c r="G71" s="55"/>
      <c r="H71" s="55"/>
      <c r="I71" s="55"/>
      <c r="J71" s="55"/>
      <c r="K71" s="55"/>
      <c r="L71" s="55"/>
      <c r="M71" s="55"/>
      <c r="N71" s="55"/>
      <c r="O71" s="55"/>
      <c r="P71" s="55"/>
      <c r="Q71" s="55"/>
      <c r="R71" s="55"/>
      <c r="S71" s="55"/>
      <c r="T71" s="55"/>
      <c r="U71" s="55"/>
      <c r="V71" s="55"/>
      <c r="W71" s="56"/>
    </row>
    <row r="72" spans="2:23" x14ac:dyDescent="0.35">
      <c r="B72" s="61"/>
      <c r="C72" s="54"/>
      <c r="D72" s="55"/>
      <c r="E72" s="55"/>
      <c r="F72" s="55"/>
      <c r="G72" s="55"/>
      <c r="H72" s="55"/>
      <c r="I72" s="55"/>
      <c r="J72" s="55"/>
      <c r="K72" s="55"/>
      <c r="L72" s="55"/>
      <c r="M72" s="55"/>
      <c r="N72" s="55"/>
      <c r="O72" s="55"/>
      <c r="P72" s="55"/>
      <c r="Q72" s="55"/>
      <c r="R72" s="55"/>
      <c r="S72" s="55"/>
      <c r="T72" s="55"/>
      <c r="U72" s="55"/>
      <c r="V72" s="55"/>
      <c r="W72" s="56"/>
    </row>
    <row r="73" spans="2:23" x14ac:dyDescent="0.35">
      <c r="B73" s="61"/>
      <c r="C73" s="54"/>
      <c r="D73" s="55"/>
      <c r="E73" s="55"/>
      <c r="F73" s="55"/>
      <c r="G73" s="55"/>
      <c r="H73" s="55"/>
      <c r="I73" s="55"/>
      <c r="J73" s="55"/>
      <c r="K73" s="55"/>
      <c r="L73" s="55"/>
      <c r="M73" s="55"/>
      <c r="N73" s="55"/>
      <c r="O73" s="55"/>
      <c r="P73" s="55"/>
      <c r="Q73" s="55"/>
      <c r="R73" s="55"/>
      <c r="S73" s="55"/>
      <c r="T73" s="55"/>
      <c r="U73" s="55"/>
      <c r="V73" s="55"/>
      <c r="W73" s="56"/>
    </row>
    <row r="74" spans="2:23" x14ac:dyDescent="0.35">
      <c r="B74" s="61"/>
      <c r="C74" s="54"/>
      <c r="D74" s="55"/>
      <c r="E74" s="55"/>
      <c r="F74" s="55"/>
      <c r="G74" s="55"/>
      <c r="H74" s="55"/>
      <c r="I74" s="55"/>
      <c r="J74" s="55"/>
      <c r="K74" s="55"/>
      <c r="L74" s="55"/>
      <c r="M74" s="55"/>
      <c r="N74" s="55"/>
      <c r="O74" s="55"/>
      <c r="P74" s="55"/>
      <c r="Q74" s="55"/>
      <c r="R74" s="55"/>
      <c r="S74" s="55"/>
      <c r="T74" s="55"/>
      <c r="U74" s="55"/>
      <c r="V74" s="55"/>
      <c r="W74" s="56"/>
    </row>
    <row r="75" spans="2:23" x14ac:dyDescent="0.35">
      <c r="B75" s="61"/>
      <c r="C75" s="54"/>
      <c r="D75" s="55"/>
      <c r="E75" s="55"/>
      <c r="F75" s="55"/>
      <c r="G75" s="55"/>
      <c r="H75" s="55"/>
      <c r="I75" s="55"/>
      <c r="J75" s="55"/>
      <c r="K75" s="55"/>
      <c r="L75" s="55"/>
      <c r="M75" s="55"/>
      <c r="N75" s="55"/>
      <c r="O75" s="55"/>
      <c r="P75" s="55"/>
      <c r="Q75" s="55"/>
      <c r="R75" s="55"/>
      <c r="S75" s="55"/>
      <c r="T75" s="55"/>
      <c r="U75" s="55"/>
      <c r="V75" s="55"/>
      <c r="W75" s="56"/>
    </row>
    <row r="76" spans="2:23" x14ac:dyDescent="0.35">
      <c r="B76" s="61"/>
      <c r="C76" s="54"/>
      <c r="D76" s="55"/>
      <c r="E76" s="55"/>
      <c r="F76" s="55"/>
      <c r="G76" s="55"/>
      <c r="H76" s="55"/>
      <c r="I76" s="55"/>
      <c r="J76" s="55"/>
      <c r="K76" s="55"/>
      <c r="L76" s="55"/>
      <c r="M76" s="55"/>
      <c r="N76" s="55"/>
      <c r="O76" s="55"/>
      <c r="P76" s="55"/>
      <c r="Q76" s="55"/>
      <c r="R76" s="55"/>
      <c r="S76" s="55"/>
      <c r="T76" s="55"/>
      <c r="U76" s="55"/>
      <c r="V76" s="55"/>
      <c r="W76" s="56"/>
    </row>
    <row r="77" spans="2:23" x14ac:dyDescent="0.35">
      <c r="B77" s="61"/>
      <c r="C77" s="54"/>
      <c r="D77" s="55"/>
      <c r="E77" s="55"/>
      <c r="F77" s="55"/>
      <c r="G77" s="55"/>
      <c r="H77" s="55"/>
      <c r="I77" s="55"/>
      <c r="J77" s="55"/>
      <c r="K77" s="55"/>
      <c r="L77" s="55"/>
      <c r="M77" s="55"/>
      <c r="N77" s="55"/>
      <c r="O77" s="55"/>
      <c r="P77" s="55"/>
      <c r="Q77" s="55"/>
      <c r="R77" s="55"/>
      <c r="S77" s="55"/>
      <c r="T77" s="55"/>
      <c r="U77" s="55"/>
      <c r="V77" s="55"/>
      <c r="W77" s="56"/>
    </row>
    <row r="78" spans="2:23" x14ac:dyDescent="0.35">
      <c r="B78" s="61"/>
      <c r="C78" s="54"/>
      <c r="D78" s="55"/>
      <c r="E78" s="55"/>
      <c r="F78" s="55"/>
      <c r="G78" s="55"/>
      <c r="H78" s="55"/>
      <c r="I78" s="55"/>
      <c r="J78" s="55"/>
      <c r="K78" s="55"/>
      <c r="L78" s="55"/>
      <c r="M78" s="55"/>
      <c r="N78" s="55"/>
      <c r="O78" s="55"/>
      <c r="P78" s="55"/>
      <c r="Q78" s="55"/>
      <c r="R78" s="55"/>
      <c r="S78" s="55"/>
      <c r="T78" s="55"/>
      <c r="U78" s="55"/>
      <c r="V78" s="55"/>
      <c r="W78" s="56"/>
    </row>
    <row r="79" spans="2:23" ht="15" thickBot="1" x14ac:dyDescent="0.4">
      <c r="B79" s="62"/>
      <c r="C79" s="57"/>
      <c r="D79" s="58"/>
      <c r="E79" s="58"/>
      <c r="F79" s="58"/>
      <c r="G79" s="58"/>
      <c r="H79" s="58"/>
      <c r="I79" s="58"/>
      <c r="J79" s="58"/>
      <c r="K79" s="58"/>
      <c r="L79" s="58"/>
      <c r="M79" s="58"/>
      <c r="N79" s="58"/>
      <c r="O79" s="58"/>
      <c r="P79" s="58"/>
      <c r="Q79" s="58"/>
      <c r="R79" s="58"/>
      <c r="S79" s="58"/>
      <c r="T79" s="58"/>
      <c r="U79" s="58"/>
      <c r="V79" s="58"/>
      <c r="W79" s="59"/>
    </row>
    <row r="80" spans="2:23" x14ac:dyDescent="0.35">
      <c r="B80" s="60">
        <v>10</v>
      </c>
      <c r="C80" s="51" t="s">
        <v>270</v>
      </c>
      <c r="D80" s="52"/>
      <c r="E80" s="52"/>
      <c r="F80" s="52"/>
      <c r="G80" s="52"/>
      <c r="H80" s="52"/>
      <c r="I80" s="52"/>
      <c r="J80" s="52"/>
      <c r="K80" s="52"/>
      <c r="L80" s="52"/>
      <c r="M80" s="52"/>
      <c r="N80" s="52"/>
      <c r="O80" s="52"/>
      <c r="P80" s="52"/>
      <c r="Q80" s="52"/>
      <c r="R80" s="52"/>
      <c r="S80" s="52"/>
      <c r="T80" s="52"/>
      <c r="U80" s="52"/>
      <c r="V80" s="52"/>
      <c r="W80" s="53"/>
    </row>
    <row r="81" spans="2:23" x14ac:dyDescent="0.35">
      <c r="B81" s="61"/>
      <c r="C81" s="54"/>
      <c r="D81" s="55"/>
      <c r="E81" s="55"/>
      <c r="F81" s="55"/>
      <c r="G81" s="55"/>
      <c r="H81" s="55"/>
      <c r="I81" s="55"/>
      <c r="J81" s="55"/>
      <c r="K81" s="55"/>
      <c r="L81" s="55"/>
      <c r="M81" s="55"/>
      <c r="N81" s="55"/>
      <c r="O81" s="55"/>
      <c r="P81" s="55"/>
      <c r="Q81" s="55"/>
      <c r="R81" s="55"/>
      <c r="S81" s="55"/>
      <c r="T81" s="55"/>
      <c r="U81" s="55"/>
      <c r="V81" s="55"/>
      <c r="W81" s="56"/>
    </row>
    <row r="82" spans="2:23" x14ac:dyDescent="0.35">
      <c r="B82" s="61"/>
      <c r="C82" s="54"/>
      <c r="D82" s="55"/>
      <c r="E82" s="55"/>
      <c r="F82" s="55"/>
      <c r="G82" s="55"/>
      <c r="H82" s="55"/>
      <c r="I82" s="55"/>
      <c r="J82" s="55"/>
      <c r="K82" s="55"/>
      <c r="L82" s="55"/>
      <c r="M82" s="55"/>
      <c r="N82" s="55"/>
      <c r="O82" s="55"/>
      <c r="P82" s="55"/>
      <c r="Q82" s="55"/>
      <c r="R82" s="55"/>
      <c r="S82" s="55"/>
      <c r="T82" s="55"/>
      <c r="U82" s="55"/>
      <c r="V82" s="55"/>
      <c r="W82" s="56"/>
    </row>
    <row r="83" spans="2:23" x14ac:dyDescent="0.35">
      <c r="B83" s="61"/>
      <c r="C83" s="54"/>
      <c r="D83" s="55"/>
      <c r="E83" s="55"/>
      <c r="F83" s="55"/>
      <c r="G83" s="55"/>
      <c r="H83" s="55"/>
      <c r="I83" s="55"/>
      <c r="J83" s="55"/>
      <c r="K83" s="55"/>
      <c r="L83" s="55"/>
      <c r="M83" s="55"/>
      <c r="N83" s="55"/>
      <c r="O83" s="55"/>
      <c r="P83" s="55"/>
      <c r="Q83" s="55"/>
      <c r="R83" s="55"/>
      <c r="S83" s="55"/>
      <c r="T83" s="55"/>
      <c r="U83" s="55"/>
      <c r="V83" s="55"/>
      <c r="W83" s="56"/>
    </row>
    <row r="84" spans="2:23" x14ac:dyDescent="0.35">
      <c r="B84" s="61"/>
      <c r="C84" s="54"/>
      <c r="D84" s="55"/>
      <c r="E84" s="55"/>
      <c r="F84" s="55"/>
      <c r="G84" s="55"/>
      <c r="H84" s="55"/>
      <c r="I84" s="55"/>
      <c r="J84" s="55"/>
      <c r="K84" s="55"/>
      <c r="L84" s="55"/>
      <c r="M84" s="55"/>
      <c r="N84" s="55"/>
      <c r="O84" s="55"/>
      <c r="P84" s="55"/>
      <c r="Q84" s="55"/>
      <c r="R84" s="55"/>
      <c r="S84" s="55"/>
      <c r="T84" s="55"/>
      <c r="U84" s="55"/>
      <c r="V84" s="55"/>
      <c r="W84" s="56"/>
    </row>
    <row r="85" spans="2:23" x14ac:dyDescent="0.35">
      <c r="B85" s="61"/>
      <c r="C85" s="54"/>
      <c r="D85" s="55"/>
      <c r="E85" s="55"/>
      <c r="F85" s="55"/>
      <c r="G85" s="55"/>
      <c r="H85" s="55"/>
      <c r="I85" s="55"/>
      <c r="J85" s="55"/>
      <c r="K85" s="55"/>
      <c r="L85" s="55"/>
      <c r="M85" s="55"/>
      <c r="N85" s="55"/>
      <c r="O85" s="55"/>
      <c r="P85" s="55"/>
      <c r="Q85" s="55"/>
      <c r="R85" s="55"/>
      <c r="S85" s="55"/>
      <c r="T85" s="55"/>
      <c r="U85" s="55"/>
      <c r="V85" s="55"/>
      <c r="W85" s="56"/>
    </row>
    <row r="86" spans="2:23" x14ac:dyDescent="0.35">
      <c r="B86" s="61"/>
      <c r="C86" s="54"/>
      <c r="D86" s="55"/>
      <c r="E86" s="55"/>
      <c r="F86" s="55"/>
      <c r="G86" s="55"/>
      <c r="H86" s="55"/>
      <c r="I86" s="55"/>
      <c r="J86" s="55"/>
      <c r="K86" s="55"/>
      <c r="L86" s="55"/>
      <c r="M86" s="55"/>
      <c r="N86" s="55"/>
      <c r="O86" s="55"/>
      <c r="P86" s="55"/>
      <c r="Q86" s="55"/>
      <c r="R86" s="55"/>
      <c r="S86" s="55"/>
      <c r="T86" s="55"/>
      <c r="U86" s="55"/>
      <c r="V86" s="55"/>
      <c r="W86" s="56"/>
    </row>
    <row r="87" spans="2:23" ht="15" thickBot="1" x14ac:dyDescent="0.4">
      <c r="B87" s="62"/>
      <c r="C87" s="57"/>
      <c r="D87" s="58"/>
      <c r="E87" s="58"/>
      <c r="F87" s="58"/>
      <c r="G87" s="58"/>
      <c r="H87" s="58"/>
      <c r="I87" s="58"/>
      <c r="J87" s="58"/>
      <c r="K87" s="58"/>
      <c r="L87" s="58"/>
      <c r="M87" s="58"/>
      <c r="N87" s="58"/>
      <c r="O87" s="58"/>
      <c r="P87" s="58"/>
      <c r="Q87" s="58"/>
      <c r="R87" s="58"/>
      <c r="S87" s="58"/>
      <c r="T87" s="58"/>
      <c r="U87" s="58"/>
      <c r="V87" s="58"/>
      <c r="W87" s="59"/>
    </row>
    <row r="88" spans="2:23" x14ac:dyDescent="0.35">
      <c r="B88" s="60">
        <v>11</v>
      </c>
      <c r="C88" s="51" t="s">
        <v>276</v>
      </c>
      <c r="D88" s="52"/>
      <c r="E88" s="52"/>
      <c r="F88" s="52"/>
      <c r="G88" s="52"/>
      <c r="H88" s="52"/>
      <c r="I88" s="52"/>
      <c r="J88" s="52"/>
      <c r="K88" s="52"/>
      <c r="L88" s="52"/>
      <c r="M88" s="52"/>
      <c r="N88" s="52"/>
      <c r="O88" s="52"/>
      <c r="P88" s="52"/>
      <c r="Q88" s="52"/>
      <c r="R88" s="52"/>
      <c r="S88" s="52"/>
      <c r="T88" s="52"/>
      <c r="U88" s="52"/>
      <c r="V88" s="52"/>
      <c r="W88" s="53"/>
    </row>
    <row r="89" spans="2:23" x14ac:dyDescent="0.35">
      <c r="B89" s="61"/>
      <c r="C89" s="54"/>
      <c r="D89" s="55"/>
      <c r="E89" s="55"/>
      <c r="F89" s="55"/>
      <c r="G89" s="55"/>
      <c r="H89" s="55"/>
      <c r="I89" s="55"/>
      <c r="J89" s="55"/>
      <c r="K89" s="55"/>
      <c r="L89" s="55"/>
      <c r="M89" s="55"/>
      <c r="N89" s="55"/>
      <c r="O89" s="55"/>
      <c r="P89" s="55"/>
      <c r="Q89" s="55"/>
      <c r="R89" s="55"/>
      <c r="S89" s="55"/>
      <c r="T89" s="55"/>
      <c r="U89" s="55"/>
      <c r="V89" s="55"/>
      <c r="W89" s="56"/>
    </row>
    <row r="90" spans="2:23" x14ac:dyDescent="0.35">
      <c r="B90" s="61"/>
      <c r="C90" s="54"/>
      <c r="D90" s="55"/>
      <c r="E90" s="55"/>
      <c r="F90" s="55"/>
      <c r="G90" s="55"/>
      <c r="H90" s="55"/>
      <c r="I90" s="55"/>
      <c r="J90" s="55"/>
      <c r="K90" s="55"/>
      <c r="L90" s="55"/>
      <c r="M90" s="55"/>
      <c r="N90" s="55"/>
      <c r="O90" s="55"/>
      <c r="P90" s="55"/>
      <c r="Q90" s="55"/>
      <c r="R90" s="55"/>
      <c r="S90" s="55"/>
      <c r="T90" s="55"/>
      <c r="U90" s="55"/>
      <c r="V90" s="55"/>
      <c r="W90" s="56"/>
    </row>
    <row r="91" spans="2:23" x14ac:dyDescent="0.35">
      <c r="B91" s="61"/>
      <c r="C91" s="54"/>
      <c r="D91" s="55"/>
      <c r="E91" s="55"/>
      <c r="F91" s="55"/>
      <c r="G91" s="55"/>
      <c r="H91" s="55"/>
      <c r="I91" s="55"/>
      <c r="J91" s="55"/>
      <c r="K91" s="55"/>
      <c r="L91" s="55"/>
      <c r="M91" s="55"/>
      <c r="N91" s="55"/>
      <c r="O91" s="55"/>
      <c r="P91" s="55"/>
      <c r="Q91" s="55"/>
      <c r="R91" s="55"/>
      <c r="S91" s="55"/>
      <c r="T91" s="55"/>
      <c r="U91" s="55"/>
      <c r="V91" s="55"/>
      <c r="W91" s="56"/>
    </row>
    <row r="92" spans="2:23" x14ac:dyDescent="0.35">
      <c r="B92" s="61"/>
      <c r="C92" s="54"/>
      <c r="D92" s="55"/>
      <c r="E92" s="55"/>
      <c r="F92" s="55"/>
      <c r="G92" s="55"/>
      <c r="H92" s="55"/>
      <c r="I92" s="55"/>
      <c r="J92" s="55"/>
      <c r="K92" s="55"/>
      <c r="L92" s="55"/>
      <c r="M92" s="55"/>
      <c r="N92" s="55"/>
      <c r="O92" s="55"/>
      <c r="P92" s="55"/>
      <c r="Q92" s="55"/>
      <c r="R92" s="55"/>
      <c r="S92" s="55"/>
      <c r="T92" s="55"/>
      <c r="U92" s="55"/>
      <c r="V92" s="55"/>
      <c r="W92" s="56"/>
    </row>
    <row r="93" spans="2:23" x14ac:dyDescent="0.35">
      <c r="B93" s="61"/>
      <c r="C93" s="54"/>
      <c r="D93" s="55"/>
      <c r="E93" s="55"/>
      <c r="F93" s="55"/>
      <c r="G93" s="55"/>
      <c r="H93" s="55"/>
      <c r="I93" s="55"/>
      <c r="J93" s="55"/>
      <c r="K93" s="55"/>
      <c r="L93" s="55"/>
      <c r="M93" s="55"/>
      <c r="N93" s="55"/>
      <c r="O93" s="55"/>
      <c r="P93" s="55"/>
      <c r="Q93" s="55"/>
      <c r="R93" s="55"/>
      <c r="S93" s="55"/>
      <c r="T93" s="55"/>
      <c r="U93" s="55"/>
      <c r="V93" s="55"/>
      <c r="W93" s="56"/>
    </row>
    <row r="94" spans="2:23" ht="15" thickBot="1" x14ac:dyDescent="0.4">
      <c r="B94" s="62"/>
      <c r="C94" s="57"/>
      <c r="D94" s="58"/>
      <c r="E94" s="58"/>
      <c r="F94" s="58"/>
      <c r="G94" s="58"/>
      <c r="H94" s="58"/>
      <c r="I94" s="58"/>
      <c r="J94" s="58"/>
      <c r="K94" s="58"/>
      <c r="L94" s="58"/>
      <c r="M94" s="58"/>
      <c r="N94" s="58"/>
      <c r="O94" s="58"/>
      <c r="P94" s="58"/>
      <c r="Q94" s="58"/>
      <c r="R94" s="58"/>
      <c r="S94" s="58"/>
      <c r="T94" s="58"/>
      <c r="U94" s="58"/>
      <c r="V94" s="58"/>
      <c r="W94" s="59"/>
    </row>
  </sheetData>
  <mergeCells count="23">
    <mergeCell ref="C88:W94"/>
    <mergeCell ref="B88:B94"/>
    <mergeCell ref="C55:W62"/>
    <mergeCell ref="B55:B62"/>
    <mergeCell ref="C63:W69"/>
    <mergeCell ref="B63:B69"/>
    <mergeCell ref="C70:W79"/>
    <mergeCell ref="B70:B79"/>
    <mergeCell ref="C80:W87"/>
    <mergeCell ref="B80:B87"/>
    <mergeCell ref="C33:W38"/>
    <mergeCell ref="B33:B38"/>
    <mergeCell ref="C39:W43"/>
    <mergeCell ref="B39:B43"/>
    <mergeCell ref="C44:W54"/>
    <mergeCell ref="B44:B54"/>
    <mergeCell ref="C24:W32"/>
    <mergeCell ref="B24:B32"/>
    <mergeCell ref="C4:W4"/>
    <mergeCell ref="C5:W11"/>
    <mergeCell ref="C12:W23"/>
    <mergeCell ref="B5:B11"/>
    <mergeCell ref="B12: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46759-457C-449C-ABC8-EA649215C8E4}">
  <dimension ref="B2:N39"/>
  <sheetViews>
    <sheetView workbookViewId="0">
      <selection activeCell="D19" sqref="D19"/>
    </sheetView>
  </sheetViews>
  <sheetFormatPr defaultRowHeight="14.5" x14ac:dyDescent="0.35"/>
  <cols>
    <col min="1" max="1" width="6.6328125" style="7" customWidth="1"/>
    <col min="2" max="2" width="12.26953125" style="7" bestFit="1" customWidth="1"/>
    <col min="3" max="14" width="16.1796875" style="7" customWidth="1"/>
    <col min="15" max="16384" width="8.7265625" style="7"/>
  </cols>
  <sheetData>
    <row r="2" spans="2:14" x14ac:dyDescent="0.35">
      <c r="B2" s="11" t="s">
        <v>81</v>
      </c>
    </row>
    <row r="3" spans="2:14" x14ac:dyDescent="0.35">
      <c r="B3" s="11"/>
    </row>
    <row r="4" spans="2:14" x14ac:dyDescent="0.35">
      <c r="B4" s="5"/>
      <c r="C4" s="7" t="s">
        <v>22</v>
      </c>
    </row>
    <row r="5" spans="2:14" x14ac:dyDescent="0.35">
      <c r="B5" s="6"/>
    </row>
    <row r="7" spans="2:14" x14ac:dyDescent="0.35">
      <c r="C7" s="66" t="s">
        <v>0</v>
      </c>
      <c r="D7" s="66"/>
      <c r="E7" s="66"/>
      <c r="F7" s="66" t="s">
        <v>1</v>
      </c>
      <c r="G7" s="66"/>
      <c r="H7" s="66"/>
      <c r="I7" s="66" t="s">
        <v>2</v>
      </c>
      <c r="J7" s="66"/>
      <c r="K7" s="66"/>
      <c r="L7" s="66" t="s">
        <v>3</v>
      </c>
      <c r="M7" s="66"/>
      <c r="N7" s="66"/>
    </row>
    <row r="8" spans="2:14" ht="29" x14ac:dyDescent="0.35">
      <c r="B8" s="19" t="s">
        <v>4</v>
      </c>
      <c r="C8" s="37" t="s">
        <v>5</v>
      </c>
      <c r="D8" s="19" t="s">
        <v>6</v>
      </c>
      <c r="E8" s="19" t="s">
        <v>7</v>
      </c>
      <c r="F8" s="37" t="s">
        <v>5</v>
      </c>
      <c r="G8" s="19" t="s">
        <v>6</v>
      </c>
      <c r="H8" s="19" t="s">
        <v>7</v>
      </c>
      <c r="I8" s="37" t="s">
        <v>5</v>
      </c>
      <c r="J8" s="19" t="s">
        <v>6</v>
      </c>
      <c r="K8" s="19" t="s">
        <v>7</v>
      </c>
      <c r="L8" s="37" t="s">
        <v>5</v>
      </c>
      <c r="M8" s="19" t="s">
        <v>6</v>
      </c>
      <c r="N8" s="19" t="s">
        <v>7</v>
      </c>
    </row>
    <row r="9" spans="2:14" x14ac:dyDescent="0.35">
      <c r="B9" s="19">
        <v>1</v>
      </c>
      <c r="C9" s="2"/>
      <c r="D9" s="2"/>
      <c r="E9" s="2"/>
      <c r="F9" s="3">
        <v>56</v>
      </c>
      <c r="G9" s="3">
        <v>59</v>
      </c>
      <c r="H9" s="3">
        <v>115</v>
      </c>
      <c r="I9" s="3">
        <v>69</v>
      </c>
      <c r="J9" s="3">
        <v>103</v>
      </c>
      <c r="K9" s="3">
        <v>172</v>
      </c>
      <c r="L9" s="4">
        <v>25</v>
      </c>
      <c r="M9" s="4">
        <v>75</v>
      </c>
      <c r="N9" s="4">
        <v>100</v>
      </c>
    </row>
    <row r="10" spans="2:14" x14ac:dyDescent="0.35">
      <c r="B10" s="19">
        <v>2</v>
      </c>
      <c r="C10" s="2"/>
      <c r="D10" s="2"/>
      <c r="E10" s="2"/>
      <c r="F10" s="3">
        <v>78</v>
      </c>
      <c r="G10" s="3">
        <v>59</v>
      </c>
      <c r="H10" s="3">
        <v>137</v>
      </c>
      <c r="I10" s="3">
        <v>81</v>
      </c>
      <c r="J10" s="3">
        <v>107</v>
      </c>
      <c r="K10" s="3">
        <v>188</v>
      </c>
      <c r="L10" s="4">
        <v>17</v>
      </c>
      <c r="M10" s="4">
        <v>52</v>
      </c>
      <c r="N10" s="4">
        <v>69</v>
      </c>
    </row>
    <row r="11" spans="2:14" x14ac:dyDescent="0.35">
      <c r="B11" s="19">
        <v>3</v>
      </c>
      <c r="C11" s="2"/>
      <c r="D11" s="2"/>
      <c r="E11" s="2"/>
      <c r="F11" s="3">
        <v>68</v>
      </c>
      <c r="G11" s="3">
        <v>48</v>
      </c>
      <c r="H11" s="3">
        <v>116</v>
      </c>
      <c r="I11" s="4">
        <v>87</v>
      </c>
      <c r="J11" s="4">
        <v>134</v>
      </c>
      <c r="K11" s="4">
        <v>221</v>
      </c>
      <c r="L11" s="4">
        <v>25</v>
      </c>
      <c r="M11" s="4">
        <v>65</v>
      </c>
      <c r="N11" s="4">
        <v>90</v>
      </c>
    </row>
    <row r="12" spans="2:14" x14ac:dyDescent="0.35">
      <c r="B12" s="19">
        <v>4</v>
      </c>
      <c r="C12" s="2"/>
      <c r="D12" s="2"/>
      <c r="E12" s="2"/>
      <c r="F12" s="3">
        <v>63</v>
      </c>
      <c r="G12" s="3">
        <v>63</v>
      </c>
      <c r="H12" s="3">
        <v>126</v>
      </c>
      <c r="I12" s="4">
        <v>96</v>
      </c>
      <c r="J12" s="4">
        <v>163</v>
      </c>
      <c r="K12" s="4">
        <v>259</v>
      </c>
      <c r="L12" s="4">
        <v>15</v>
      </c>
      <c r="M12" s="4">
        <v>64</v>
      </c>
      <c r="N12" s="4">
        <v>79</v>
      </c>
    </row>
    <row r="13" spans="2:14" x14ac:dyDescent="0.35">
      <c r="B13" s="19">
        <v>5</v>
      </c>
      <c r="C13" s="2"/>
      <c r="D13" s="2"/>
      <c r="E13" s="2"/>
      <c r="F13" s="3">
        <v>55</v>
      </c>
      <c r="G13" s="3">
        <v>56</v>
      </c>
      <c r="H13" s="3">
        <v>111</v>
      </c>
      <c r="I13" s="4">
        <v>71</v>
      </c>
      <c r="J13" s="4">
        <v>136</v>
      </c>
      <c r="K13" s="4">
        <v>207</v>
      </c>
      <c r="L13" s="4">
        <v>20</v>
      </c>
      <c r="M13" s="4">
        <v>41</v>
      </c>
      <c r="N13" s="4">
        <v>61</v>
      </c>
    </row>
    <row r="14" spans="2:14" x14ac:dyDescent="0.35">
      <c r="B14" s="19">
        <v>6</v>
      </c>
      <c r="C14" s="2"/>
      <c r="D14" s="2"/>
      <c r="E14" s="2"/>
      <c r="F14" s="4">
        <v>58</v>
      </c>
      <c r="G14" s="4">
        <v>84</v>
      </c>
      <c r="H14" s="4">
        <v>142</v>
      </c>
      <c r="I14" s="4">
        <v>98</v>
      </c>
      <c r="J14" s="4">
        <v>118</v>
      </c>
      <c r="K14" s="4">
        <v>216</v>
      </c>
      <c r="L14" s="4">
        <v>20</v>
      </c>
      <c r="M14" s="4">
        <v>47</v>
      </c>
      <c r="N14" s="4">
        <v>67</v>
      </c>
    </row>
    <row r="15" spans="2:14" x14ac:dyDescent="0.35">
      <c r="B15" s="19">
        <v>7</v>
      </c>
      <c r="C15" s="2"/>
      <c r="D15" s="2"/>
      <c r="E15" s="2"/>
      <c r="F15" s="4">
        <v>86</v>
      </c>
      <c r="G15" s="4">
        <v>97</v>
      </c>
      <c r="H15" s="4">
        <v>183</v>
      </c>
      <c r="I15" s="4">
        <v>93</v>
      </c>
      <c r="J15" s="4">
        <v>130</v>
      </c>
      <c r="K15" s="4">
        <v>223</v>
      </c>
      <c r="L15" s="4">
        <v>26</v>
      </c>
      <c r="M15" s="4">
        <v>47</v>
      </c>
      <c r="N15" s="4">
        <v>73</v>
      </c>
    </row>
    <row r="16" spans="2:14" x14ac:dyDescent="0.35">
      <c r="B16" s="19">
        <v>8</v>
      </c>
      <c r="C16" s="2"/>
      <c r="D16" s="2"/>
      <c r="E16" s="2"/>
      <c r="F16" s="4">
        <v>84</v>
      </c>
      <c r="G16" s="4">
        <v>142</v>
      </c>
      <c r="H16" s="4">
        <v>226</v>
      </c>
      <c r="I16" s="4">
        <v>85</v>
      </c>
      <c r="J16" s="4">
        <v>140</v>
      </c>
      <c r="K16" s="4">
        <v>225</v>
      </c>
      <c r="L16" s="3">
        <v>27</v>
      </c>
      <c r="M16" s="3">
        <v>34</v>
      </c>
      <c r="N16" s="3">
        <v>61</v>
      </c>
    </row>
    <row r="17" spans="2:14" x14ac:dyDescent="0.35">
      <c r="B17" s="19">
        <v>9</v>
      </c>
      <c r="C17" s="2"/>
      <c r="D17" s="2"/>
      <c r="E17" s="2"/>
      <c r="F17" s="4">
        <v>106</v>
      </c>
      <c r="G17" s="4">
        <v>156</v>
      </c>
      <c r="H17" s="4">
        <v>262</v>
      </c>
      <c r="I17" s="4">
        <v>67</v>
      </c>
      <c r="J17" s="4">
        <v>136</v>
      </c>
      <c r="K17" s="4">
        <v>203</v>
      </c>
      <c r="L17" s="3">
        <v>20</v>
      </c>
      <c r="M17" s="3">
        <v>33</v>
      </c>
      <c r="N17" s="3">
        <v>53</v>
      </c>
    </row>
    <row r="18" spans="2:14" x14ac:dyDescent="0.35">
      <c r="B18" s="19">
        <v>10</v>
      </c>
      <c r="C18" s="2"/>
      <c r="D18" s="2"/>
      <c r="E18" s="2"/>
      <c r="F18" s="4">
        <v>78</v>
      </c>
      <c r="G18" s="4">
        <v>88</v>
      </c>
      <c r="H18" s="4">
        <v>166</v>
      </c>
      <c r="I18" s="3">
        <v>67</v>
      </c>
      <c r="J18" s="3">
        <v>108</v>
      </c>
      <c r="K18" s="3">
        <v>175</v>
      </c>
      <c r="L18" s="3">
        <v>24</v>
      </c>
      <c r="M18" s="3">
        <v>28</v>
      </c>
      <c r="N18" s="3">
        <v>52</v>
      </c>
    </row>
    <row r="19" spans="2:14" x14ac:dyDescent="0.35">
      <c r="B19" s="19">
        <v>11</v>
      </c>
      <c r="C19" s="2"/>
      <c r="D19" s="2"/>
      <c r="E19" s="2"/>
      <c r="F19" s="4">
        <v>66</v>
      </c>
      <c r="G19" s="4">
        <v>126</v>
      </c>
      <c r="H19" s="4">
        <v>192</v>
      </c>
      <c r="I19" s="3">
        <v>61</v>
      </c>
      <c r="J19" s="3">
        <v>91</v>
      </c>
      <c r="K19" s="3">
        <v>152</v>
      </c>
      <c r="L19" s="3">
        <v>17</v>
      </c>
      <c r="M19" s="3">
        <v>24</v>
      </c>
      <c r="N19" s="3">
        <v>41</v>
      </c>
    </row>
    <row r="20" spans="2:14" x14ac:dyDescent="0.35">
      <c r="B20" s="19">
        <v>12</v>
      </c>
      <c r="C20" s="2"/>
      <c r="D20" s="2"/>
      <c r="E20" s="2"/>
      <c r="F20" s="4">
        <v>93</v>
      </c>
      <c r="G20" s="4">
        <v>109</v>
      </c>
      <c r="H20" s="4">
        <v>202</v>
      </c>
      <c r="I20" s="3">
        <v>67</v>
      </c>
      <c r="J20" s="3">
        <v>94</v>
      </c>
      <c r="K20" s="3">
        <v>161</v>
      </c>
      <c r="L20" s="3">
        <v>10</v>
      </c>
      <c r="M20" s="3">
        <v>25</v>
      </c>
      <c r="N20" s="3">
        <v>35</v>
      </c>
    </row>
    <row r="21" spans="2:14" x14ac:dyDescent="0.35">
      <c r="B21" s="19">
        <v>13</v>
      </c>
      <c r="C21" s="2"/>
      <c r="D21" s="2"/>
      <c r="E21" s="2"/>
      <c r="F21" s="3">
        <v>103</v>
      </c>
      <c r="G21" s="3">
        <v>135</v>
      </c>
      <c r="H21" s="3">
        <v>238</v>
      </c>
      <c r="I21" s="3">
        <v>71</v>
      </c>
      <c r="J21" s="3">
        <v>113</v>
      </c>
      <c r="K21" s="3">
        <v>184</v>
      </c>
      <c r="L21" s="3">
        <v>12</v>
      </c>
      <c r="M21" s="3">
        <v>15</v>
      </c>
      <c r="N21" s="3">
        <v>27</v>
      </c>
    </row>
    <row r="22" spans="2:14" x14ac:dyDescent="0.35">
      <c r="B22" s="19">
        <v>14</v>
      </c>
      <c r="C22" s="2"/>
      <c r="D22" s="2"/>
      <c r="E22" s="2"/>
      <c r="F22" s="3">
        <v>93</v>
      </c>
      <c r="G22" s="3">
        <v>142</v>
      </c>
      <c r="H22" s="3">
        <v>235</v>
      </c>
      <c r="I22" s="3">
        <v>97</v>
      </c>
      <c r="J22" s="3">
        <v>120</v>
      </c>
      <c r="K22" s="3">
        <v>217</v>
      </c>
      <c r="L22" s="3">
        <v>9</v>
      </c>
      <c r="M22" s="3">
        <v>21</v>
      </c>
      <c r="N22" s="3">
        <v>30</v>
      </c>
    </row>
    <row r="23" spans="2:14" x14ac:dyDescent="0.35">
      <c r="B23" s="19">
        <v>15</v>
      </c>
      <c r="C23" s="3">
        <v>7</v>
      </c>
      <c r="D23" s="3">
        <v>0</v>
      </c>
      <c r="E23" s="3">
        <v>7</v>
      </c>
      <c r="F23" s="3">
        <v>94</v>
      </c>
      <c r="G23" s="3">
        <v>143</v>
      </c>
      <c r="H23" s="3">
        <v>237</v>
      </c>
      <c r="I23" s="3">
        <v>58</v>
      </c>
      <c r="J23" s="3">
        <v>99</v>
      </c>
      <c r="K23" s="3">
        <v>157</v>
      </c>
      <c r="L23" s="4">
        <v>14</v>
      </c>
      <c r="M23" s="4">
        <v>16</v>
      </c>
      <c r="N23" s="4">
        <v>30</v>
      </c>
    </row>
    <row r="24" spans="2:14" x14ac:dyDescent="0.35">
      <c r="B24" s="19">
        <v>16</v>
      </c>
      <c r="C24" s="3">
        <v>11</v>
      </c>
      <c r="D24" s="3">
        <v>1</v>
      </c>
      <c r="E24" s="3">
        <v>12</v>
      </c>
      <c r="F24" s="3">
        <v>109</v>
      </c>
      <c r="G24" s="3">
        <v>143</v>
      </c>
      <c r="H24" s="3">
        <v>252</v>
      </c>
      <c r="I24" s="3">
        <v>98</v>
      </c>
      <c r="J24" s="3">
        <v>131</v>
      </c>
      <c r="K24" s="3">
        <v>229</v>
      </c>
      <c r="L24" s="4">
        <v>10</v>
      </c>
      <c r="M24" s="4">
        <v>7</v>
      </c>
      <c r="N24" s="4">
        <v>17</v>
      </c>
    </row>
    <row r="25" spans="2:14" x14ac:dyDescent="0.35">
      <c r="B25" s="19">
        <v>17</v>
      </c>
      <c r="C25" s="3">
        <v>6</v>
      </c>
      <c r="D25" s="3">
        <v>2</v>
      </c>
      <c r="E25" s="3">
        <v>8</v>
      </c>
      <c r="F25" s="3">
        <v>102</v>
      </c>
      <c r="G25" s="3">
        <v>171</v>
      </c>
      <c r="H25" s="3">
        <v>273</v>
      </c>
      <c r="I25" s="4">
        <v>55</v>
      </c>
      <c r="J25" s="4">
        <v>119</v>
      </c>
      <c r="K25" s="4">
        <v>174</v>
      </c>
      <c r="L25" s="4">
        <v>15</v>
      </c>
      <c r="M25" s="4">
        <v>9</v>
      </c>
      <c r="N25" s="4">
        <v>24</v>
      </c>
    </row>
    <row r="26" spans="2:14" x14ac:dyDescent="0.35">
      <c r="B26" s="19">
        <v>18</v>
      </c>
      <c r="C26" s="3">
        <v>6</v>
      </c>
      <c r="D26" s="3">
        <v>0</v>
      </c>
      <c r="E26" s="3">
        <v>6</v>
      </c>
      <c r="F26" s="3">
        <v>98</v>
      </c>
      <c r="G26" s="3">
        <v>153</v>
      </c>
      <c r="H26" s="3">
        <v>251</v>
      </c>
      <c r="I26" s="4">
        <v>73</v>
      </c>
      <c r="J26" s="4">
        <v>111</v>
      </c>
      <c r="K26" s="4">
        <v>184</v>
      </c>
      <c r="L26" s="4">
        <v>6</v>
      </c>
      <c r="M26" s="4">
        <v>5</v>
      </c>
      <c r="N26" s="4">
        <v>11</v>
      </c>
    </row>
    <row r="27" spans="2:14" x14ac:dyDescent="0.35">
      <c r="B27" s="19">
        <v>19</v>
      </c>
      <c r="C27" s="3">
        <v>24</v>
      </c>
      <c r="D27" s="3">
        <v>0</v>
      </c>
      <c r="E27" s="3">
        <v>24</v>
      </c>
      <c r="F27" s="3">
        <v>106</v>
      </c>
      <c r="G27" s="3">
        <v>149</v>
      </c>
      <c r="H27" s="3">
        <v>255</v>
      </c>
      <c r="I27" s="4">
        <v>62</v>
      </c>
      <c r="J27" s="4">
        <v>119</v>
      </c>
      <c r="K27" s="4">
        <v>181</v>
      </c>
      <c r="L27" s="4">
        <v>8</v>
      </c>
      <c r="M27" s="4">
        <v>5</v>
      </c>
      <c r="N27" s="4">
        <v>13</v>
      </c>
    </row>
    <row r="28" spans="2:14" x14ac:dyDescent="0.35">
      <c r="B28" s="19">
        <v>20</v>
      </c>
      <c r="C28" s="3">
        <v>14</v>
      </c>
      <c r="D28" s="3">
        <v>0</v>
      </c>
      <c r="E28" s="3">
        <v>14</v>
      </c>
      <c r="F28" s="4">
        <v>138</v>
      </c>
      <c r="G28" s="4">
        <v>160</v>
      </c>
      <c r="H28" s="4">
        <v>298</v>
      </c>
      <c r="I28" s="4">
        <v>63</v>
      </c>
      <c r="J28" s="4">
        <v>88</v>
      </c>
      <c r="K28" s="4">
        <v>151</v>
      </c>
      <c r="L28" s="4">
        <v>12</v>
      </c>
      <c r="M28" s="4">
        <v>0</v>
      </c>
      <c r="N28" s="4">
        <v>12</v>
      </c>
    </row>
    <row r="29" spans="2:14" x14ac:dyDescent="0.35">
      <c r="B29" s="19">
        <v>21</v>
      </c>
      <c r="C29" s="3">
        <v>30</v>
      </c>
      <c r="D29" s="3">
        <v>0</v>
      </c>
      <c r="E29" s="3">
        <v>30</v>
      </c>
      <c r="F29" s="4">
        <v>138</v>
      </c>
      <c r="G29" s="4">
        <v>142</v>
      </c>
      <c r="H29" s="4">
        <v>280</v>
      </c>
      <c r="I29" s="4">
        <v>44</v>
      </c>
      <c r="J29" s="4">
        <v>114</v>
      </c>
      <c r="K29" s="4">
        <v>158</v>
      </c>
      <c r="L29" s="4">
        <v>7</v>
      </c>
      <c r="M29" s="4">
        <v>3</v>
      </c>
      <c r="N29" s="4">
        <v>10</v>
      </c>
    </row>
    <row r="30" spans="2:14" x14ac:dyDescent="0.35">
      <c r="B30" s="19">
        <v>22</v>
      </c>
      <c r="C30" s="4">
        <v>24</v>
      </c>
      <c r="D30" s="4">
        <v>0</v>
      </c>
      <c r="E30" s="4">
        <v>24</v>
      </c>
      <c r="F30" s="4">
        <v>103</v>
      </c>
      <c r="G30" s="4">
        <v>173</v>
      </c>
      <c r="H30" s="4">
        <v>276</v>
      </c>
      <c r="I30" s="4">
        <v>63</v>
      </c>
      <c r="J30" s="4">
        <v>101</v>
      </c>
      <c r="K30" s="4">
        <v>164</v>
      </c>
      <c r="L30" s="3">
        <v>6</v>
      </c>
      <c r="M30" s="3">
        <v>0</v>
      </c>
      <c r="N30" s="3">
        <v>6</v>
      </c>
    </row>
    <row r="31" spans="2:14" x14ac:dyDescent="0.35">
      <c r="B31" s="19">
        <v>23</v>
      </c>
      <c r="C31" s="4">
        <v>14</v>
      </c>
      <c r="D31" s="4">
        <v>0</v>
      </c>
      <c r="E31" s="4">
        <v>14</v>
      </c>
      <c r="F31" s="4">
        <v>99</v>
      </c>
      <c r="G31" s="4">
        <v>172</v>
      </c>
      <c r="H31" s="4">
        <v>271</v>
      </c>
      <c r="I31" s="4">
        <v>51</v>
      </c>
      <c r="J31" s="4">
        <v>89</v>
      </c>
      <c r="K31" s="4">
        <v>140</v>
      </c>
      <c r="L31" s="3">
        <v>0</v>
      </c>
      <c r="M31" s="3">
        <v>0</v>
      </c>
      <c r="N31" s="3">
        <v>0</v>
      </c>
    </row>
    <row r="32" spans="2:14" x14ac:dyDescent="0.35">
      <c r="B32" s="19">
        <v>24</v>
      </c>
      <c r="C32" s="4">
        <v>30</v>
      </c>
      <c r="D32" s="4">
        <v>0</v>
      </c>
      <c r="E32" s="4">
        <v>30</v>
      </c>
      <c r="F32" s="4">
        <v>86</v>
      </c>
      <c r="G32" s="4">
        <v>142</v>
      </c>
      <c r="H32" s="4">
        <v>228</v>
      </c>
      <c r="I32" s="3">
        <v>72</v>
      </c>
      <c r="J32" s="3">
        <v>107</v>
      </c>
      <c r="K32" s="3">
        <v>179</v>
      </c>
      <c r="L32" s="3">
        <v>0</v>
      </c>
      <c r="M32" s="3">
        <v>0</v>
      </c>
      <c r="N32" s="3">
        <v>0</v>
      </c>
    </row>
    <row r="33" spans="2:14" x14ac:dyDescent="0.35">
      <c r="B33" s="19">
        <v>25</v>
      </c>
      <c r="C33" s="4">
        <v>49</v>
      </c>
      <c r="D33" s="4">
        <v>0</v>
      </c>
      <c r="E33" s="4">
        <v>49</v>
      </c>
      <c r="F33" s="4">
        <v>86</v>
      </c>
      <c r="G33" s="4">
        <v>137</v>
      </c>
      <c r="H33" s="4">
        <v>223</v>
      </c>
      <c r="I33" s="3">
        <v>50</v>
      </c>
      <c r="J33" s="3">
        <v>99</v>
      </c>
      <c r="K33" s="3">
        <v>149</v>
      </c>
      <c r="L33" s="3">
        <v>0</v>
      </c>
      <c r="M33" s="3">
        <v>0</v>
      </c>
      <c r="N33" s="3">
        <v>0</v>
      </c>
    </row>
    <row r="34" spans="2:14" x14ac:dyDescent="0.35">
      <c r="B34" s="19">
        <v>26</v>
      </c>
      <c r="C34" s="4">
        <v>31</v>
      </c>
      <c r="D34" s="4">
        <v>0</v>
      </c>
      <c r="E34" s="4">
        <v>31</v>
      </c>
      <c r="F34" s="4">
        <v>108</v>
      </c>
      <c r="G34" s="4">
        <v>122</v>
      </c>
      <c r="H34" s="4">
        <v>230</v>
      </c>
      <c r="I34" s="3">
        <v>56</v>
      </c>
      <c r="J34" s="3">
        <v>103</v>
      </c>
      <c r="K34" s="3">
        <v>159</v>
      </c>
      <c r="L34" s="3">
        <v>0</v>
      </c>
      <c r="M34" s="3">
        <v>0</v>
      </c>
      <c r="N34" s="3">
        <v>0</v>
      </c>
    </row>
    <row r="35" spans="2:14" x14ac:dyDescent="0.35">
      <c r="B35" s="19">
        <v>27</v>
      </c>
      <c r="C35" s="4">
        <v>44</v>
      </c>
      <c r="D35" s="4">
        <v>13</v>
      </c>
      <c r="E35" s="4">
        <v>57</v>
      </c>
      <c r="F35" s="3">
        <v>105</v>
      </c>
      <c r="G35" s="3">
        <v>126</v>
      </c>
      <c r="H35" s="3">
        <v>231</v>
      </c>
      <c r="I35" s="3">
        <v>45</v>
      </c>
      <c r="J35" s="3">
        <v>101</v>
      </c>
      <c r="K35" s="3">
        <v>146</v>
      </c>
      <c r="L35" s="3">
        <v>0</v>
      </c>
      <c r="M35" s="3">
        <v>0</v>
      </c>
      <c r="N35" s="3">
        <v>0</v>
      </c>
    </row>
    <row r="36" spans="2:14" x14ac:dyDescent="0.35">
      <c r="B36" s="19">
        <v>28</v>
      </c>
      <c r="C36" s="4">
        <v>53</v>
      </c>
      <c r="D36" s="4">
        <v>22</v>
      </c>
      <c r="E36" s="4">
        <v>75</v>
      </c>
      <c r="F36" s="3">
        <v>69</v>
      </c>
      <c r="G36" s="3">
        <v>137</v>
      </c>
      <c r="H36" s="3">
        <v>206</v>
      </c>
      <c r="I36" s="3">
        <v>46</v>
      </c>
      <c r="J36" s="3">
        <v>83</v>
      </c>
      <c r="K36" s="3">
        <v>129</v>
      </c>
      <c r="L36" s="3">
        <v>0</v>
      </c>
      <c r="M36" s="3">
        <v>0</v>
      </c>
      <c r="N36" s="3">
        <v>0</v>
      </c>
    </row>
    <row r="37" spans="2:14" x14ac:dyDescent="0.35">
      <c r="B37" s="19">
        <v>29</v>
      </c>
      <c r="C37" s="3">
        <v>66</v>
      </c>
      <c r="D37" s="3">
        <v>38</v>
      </c>
      <c r="E37" s="3">
        <v>104</v>
      </c>
      <c r="F37" s="3">
        <v>81</v>
      </c>
      <c r="G37" s="3">
        <v>97</v>
      </c>
      <c r="H37" s="3">
        <v>178</v>
      </c>
      <c r="I37" s="3">
        <v>27</v>
      </c>
      <c r="J37" s="3">
        <v>62</v>
      </c>
      <c r="K37" s="3">
        <v>89</v>
      </c>
      <c r="L37" s="4">
        <v>0</v>
      </c>
      <c r="M37" s="4">
        <v>0</v>
      </c>
      <c r="N37" s="4">
        <v>0</v>
      </c>
    </row>
    <row r="38" spans="2:14" x14ac:dyDescent="0.35">
      <c r="B38" s="19">
        <v>30</v>
      </c>
      <c r="C38" s="3">
        <v>39</v>
      </c>
      <c r="D38" s="3">
        <v>73</v>
      </c>
      <c r="E38" s="3">
        <v>112</v>
      </c>
      <c r="F38" s="3">
        <v>96</v>
      </c>
      <c r="G38" s="3">
        <v>111</v>
      </c>
      <c r="H38" s="3">
        <v>207</v>
      </c>
      <c r="I38" s="3">
        <v>43</v>
      </c>
      <c r="J38" s="3">
        <v>92</v>
      </c>
      <c r="K38" s="3">
        <v>135</v>
      </c>
      <c r="L38" s="4">
        <v>0</v>
      </c>
      <c r="M38" s="4">
        <v>0</v>
      </c>
      <c r="N38" s="4">
        <v>0</v>
      </c>
    </row>
    <row r="39" spans="2:14" x14ac:dyDescent="0.35">
      <c r="B39" s="19">
        <v>31</v>
      </c>
      <c r="C39" s="3" t="s">
        <v>8</v>
      </c>
      <c r="D39" s="3" t="s">
        <v>8</v>
      </c>
      <c r="E39" s="3" t="s">
        <v>8</v>
      </c>
      <c r="F39" s="3">
        <v>61</v>
      </c>
      <c r="G39" s="3">
        <v>124</v>
      </c>
      <c r="H39" s="3">
        <v>185</v>
      </c>
      <c r="I39" s="3" t="s">
        <v>8</v>
      </c>
      <c r="J39" s="3" t="s">
        <v>8</v>
      </c>
      <c r="K39" s="3" t="s">
        <v>8</v>
      </c>
      <c r="L39" s="4">
        <v>0</v>
      </c>
      <c r="M39" s="4">
        <v>0</v>
      </c>
      <c r="N39" s="4">
        <v>0</v>
      </c>
    </row>
  </sheetData>
  <mergeCells count="4">
    <mergeCell ref="C7:E7"/>
    <mergeCell ref="F7:H7"/>
    <mergeCell ref="I7:K7"/>
    <mergeCell ref="L7:N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F3D5-9A34-4AF6-A5A1-6C141CB7340D}">
  <dimension ref="B3:R16"/>
  <sheetViews>
    <sheetView workbookViewId="0">
      <selection activeCell="F21" sqref="F21"/>
    </sheetView>
  </sheetViews>
  <sheetFormatPr defaultRowHeight="14.5" x14ac:dyDescent="0.35"/>
  <cols>
    <col min="1" max="1" width="8.7265625" style="7"/>
    <col min="2" max="2" width="14.26953125" style="7" customWidth="1"/>
    <col min="3" max="18" width="11.1796875" style="7" customWidth="1"/>
    <col min="19" max="16384" width="8.7265625" style="7"/>
  </cols>
  <sheetData>
    <row r="3" spans="2:18" x14ac:dyDescent="0.35">
      <c r="B3" s="11" t="s">
        <v>79</v>
      </c>
      <c r="D3"/>
    </row>
    <row r="5" spans="2:18" x14ac:dyDescent="0.35">
      <c r="C5" s="67" t="s">
        <v>9</v>
      </c>
      <c r="D5" s="68"/>
      <c r="E5" s="67" t="s">
        <v>10</v>
      </c>
      <c r="F5" s="68"/>
      <c r="G5" s="67" t="s">
        <v>11</v>
      </c>
      <c r="H5" s="68"/>
      <c r="I5" s="67" t="s">
        <v>12</v>
      </c>
      <c r="J5" s="68"/>
      <c r="K5" s="67" t="s">
        <v>13</v>
      </c>
      <c r="L5" s="68"/>
      <c r="M5" s="67" t="s">
        <v>14</v>
      </c>
      <c r="N5" s="68"/>
      <c r="O5" s="67" t="s">
        <v>15</v>
      </c>
      <c r="P5" s="68"/>
      <c r="Q5" s="67" t="s">
        <v>16</v>
      </c>
      <c r="R5" s="68"/>
    </row>
    <row r="6" spans="2:18" x14ac:dyDescent="0.35">
      <c r="C6" s="38" t="s">
        <v>18</v>
      </c>
      <c r="D6" s="38" t="s">
        <v>19</v>
      </c>
      <c r="E6" s="38" t="s">
        <v>18</v>
      </c>
      <c r="F6" s="38" t="s">
        <v>19</v>
      </c>
      <c r="G6" s="38" t="s">
        <v>18</v>
      </c>
      <c r="H6" s="38" t="s">
        <v>19</v>
      </c>
      <c r="I6" s="38" t="s">
        <v>18</v>
      </c>
      <c r="J6" s="38" t="s">
        <v>19</v>
      </c>
      <c r="K6" s="38" t="s">
        <v>18</v>
      </c>
      <c r="L6" s="38" t="s">
        <v>19</v>
      </c>
      <c r="M6" s="38" t="s">
        <v>18</v>
      </c>
      <c r="N6" s="38" t="s">
        <v>19</v>
      </c>
      <c r="O6" s="38" t="s">
        <v>18</v>
      </c>
      <c r="P6" s="38" t="s">
        <v>19</v>
      </c>
      <c r="Q6" s="38" t="s">
        <v>18</v>
      </c>
      <c r="R6" s="38" t="s">
        <v>19</v>
      </c>
    </row>
    <row r="7" spans="2:18" x14ac:dyDescent="0.35">
      <c r="B7" s="18" t="s">
        <v>17</v>
      </c>
      <c r="C7" s="10">
        <v>61</v>
      </c>
      <c r="D7" s="10">
        <v>64</v>
      </c>
      <c r="E7" s="10">
        <v>204</v>
      </c>
      <c r="F7" s="10">
        <v>122</v>
      </c>
      <c r="G7" s="10">
        <v>370</v>
      </c>
      <c r="H7" s="10">
        <v>172</v>
      </c>
      <c r="I7" s="10">
        <v>468</v>
      </c>
      <c r="J7" s="10">
        <v>207</v>
      </c>
      <c r="K7" s="10">
        <v>377</v>
      </c>
      <c r="L7" s="10">
        <v>217</v>
      </c>
      <c r="M7" s="10">
        <v>318</v>
      </c>
      <c r="N7" s="10">
        <v>285</v>
      </c>
      <c r="O7" s="10">
        <v>247</v>
      </c>
      <c r="P7" s="10">
        <v>326</v>
      </c>
      <c r="Q7" s="10">
        <v>16</v>
      </c>
      <c r="R7" s="10">
        <v>12</v>
      </c>
    </row>
    <row r="12" spans="2:18" x14ac:dyDescent="0.35">
      <c r="B12" s="11" t="s">
        <v>80</v>
      </c>
      <c r="C12"/>
    </row>
    <row r="14" spans="2:18" x14ac:dyDescent="0.35">
      <c r="C14" s="67" t="s">
        <v>9</v>
      </c>
      <c r="D14" s="68"/>
      <c r="E14" s="67" t="s">
        <v>10</v>
      </c>
      <c r="F14" s="68"/>
      <c r="G14" s="67" t="s">
        <v>11</v>
      </c>
      <c r="H14" s="68"/>
      <c r="I14" s="67" t="s">
        <v>12</v>
      </c>
      <c r="J14" s="68"/>
      <c r="K14" s="67" t="s">
        <v>13</v>
      </c>
      <c r="L14" s="68"/>
      <c r="M14" s="67" t="s">
        <v>14</v>
      </c>
      <c r="N14" s="68"/>
      <c r="O14" s="67" t="s">
        <v>15</v>
      </c>
      <c r="P14" s="68"/>
      <c r="Q14" s="67" t="s">
        <v>16</v>
      </c>
      <c r="R14" s="68"/>
    </row>
    <row r="15" spans="2:18" x14ac:dyDescent="0.35">
      <c r="C15" s="38" t="s">
        <v>18</v>
      </c>
      <c r="D15" s="38" t="s">
        <v>19</v>
      </c>
      <c r="E15" s="38" t="s">
        <v>18</v>
      </c>
      <c r="F15" s="38" t="s">
        <v>19</v>
      </c>
      <c r="G15" s="38" t="s">
        <v>18</v>
      </c>
      <c r="H15" s="38" t="s">
        <v>19</v>
      </c>
      <c r="I15" s="38" t="s">
        <v>18</v>
      </c>
      <c r="J15" s="38" t="s">
        <v>19</v>
      </c>
      <c r="K15" s="38" t="s">
        <v>18</v>
      </c>
      <c r="L15" s="38" t="s">
        <v>19</v>
      </c>
      <c r="M15" s="38" t="s">
        <v>18</v>
      </c>
      <c r="N15" s="38" t="s">
        <v>19</v>
      </c>
      <c r="O15" s="38" t="s">
        <v>18</v>
      </c>
      <c r="P15" s="38" t="s">
        <v>19</v>
      </c>
      <c r="Q15" s="38" t="s">
        <v>18</v>
      </c>
      <c r="R15" s="38" t="s">
        <v>19</v>
      </c>
    </row>
    <row r="16" spans="2:18" x14ac:dyDescent="0.35">
      <c r="B16" s="18" t="s">
        <v>17</v>
      </c>
      <c r="C16" s="10">
        <v>5</v>
      </c>
      <c r="D16" s="10">
        <v>2</v>
      </c>
      <c r="E16" s="10">
        <v>263</v>
      </c>
      <c r="F16" s="10">
        <v>45</v>
      </c>
      <c r="G16" s="10">
        <v>510</v>
      </c>
      <c r="H16" s="10">
        <v>75</v>
      </c>
      <c r="I16" s="10">
        <v>293</v>
      </c>
      <c r="J16" s="10">
        <v>65</v>
      </c>
      <c r="K16" s="10">
        <v>238</v>
      </c>
      <c r="L16" s="10">
        <v>53</v>
      </c>
      <c r="M16" s="10">
        <v>137</v>
      </c>
      <c r="N16" s="10">
        <v>80</v>
      </c>
      <c r="O16" s="10">
        <v>82</v>
      </c>
      <c r="P16" s="10">
        <v>57</v>
      </c>
      <c r="Q16" s="10">
        <v>16</v>
      </c>
      <c r="R16" s="10">
        <v>11</v>
      </c>
    </row>
  </sheetData>
  <mergeCells count="16">
    <mergeCell ref="O5:P5"/>
    <mergeCell ref="Q5:R5"/>
    <mergeCell ref="C14:D14"/>
    <mergeCell ref="E14:F14"/>
    <mergeCell ref="G14:H14"/>
    <mergeCell ref="I14:J14"/>
    <mergeCell ref="K14:L14"/>
    <mergeCell ref="M14:N14"/>
    <mergeCell ref="O14:P14"/>
    <mergeCell ref="Q14:R14"/>
    <mergeCell ref="C5:D5"/>
    <mergeCell ref="E5:F5"/>
    <mergeCell ref="G5:H5"/>
    <mergeCell ref="I5:J5"/>
    <mergeCell ref="K5:L5"/>
    <mergeCell ref="M5:N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AA4C-E3F6-4782-B1F9-457E35591265}">
  <dimension ref="B2:E38"/>
  <sheetViews>
    <sheetView workbookViewId="0">
      <selection activeCell="A2" sqref="A2"/>
    </sheetView>
  </sheetViews>
  <sheetFormatPr defaultRowHeight="14.5" x14ac:dyDescent="0.35"/>
  <cols>
    <col min="1" max="1" width="8.7265625" style="7"/>
    <col min="2" max="2" width="25.7265625" style="7" bestFit="1" customWidth="1"/>
    <col min="3" max="5" width="15.54296875" style="7" customWidth="1"/>
    <col min="6" max="16384" width="8.7265625" style="7"/>
  </cols>
  <sheetData>
    <row r="2" spans="2:5" x14ac:dyDescent="0.35">
      <c r="B2" s="17" t="s">
        <v>102</v>
      </c>
    </row>
    <row r="4" spans="2:5" x14ac:dyDescent="0.35">
      <c r="B4" s="19" t="s">
        <v>75</v>
      </c>
      <c r="C4" s="19" t="s">
        <v>76</v>
      </c>
      <c r="D4" s="19" t="s">
        <v>77</v>
      </c>
      <c r="E4" s="19" t="s">
        <v>7</v>
      </c>
    </row>
    <row r="5" spans="2:5" x14ac:dyDescent="0.35">
      <c r="B5" s="2" t="s">
        <v>33</v>
      </c>
      <c r="C5" s="2">
        <v>241</v>
      </c>
      <c r="D5" s="2">
        <v>149</v>
      </c>
      <c r="E5" s="2">
        <v>390</v>
      </c>
    </row>
    <row r="6" spans="2:5" x14ac:dyDescent="0.35">
      <c r="B6" s="2" t="s">
        <v>64</v>
      </c>
      <c r="C6" s="2">
        <v>198</v>
      </c>
      <c r="D6" s="2">
        <v>171</v>
      </c>
      <c r="E6" s="2">
        <v>369</v>
      </c>
    </row>
    <row r="7" spans="2:5" x14ac:dyDescent="0.35">
      <c r="B7" s="2" t="s">
        <v>56</v>
      </c>
      <c r="C7" s="2">
        <v>234</v>
      </c>
      <c r="D7" s="2">
        <v>111</v>
      </c>
      <c r="E7" s="2">
        <v>345</v>
      </c>
    </row>
    <row r="8" spans="2:5" x14ac:dyDescent="0.35">
      <c r="B8" s="2" t="s">
        <v>65</v>
      </c>
      <c r="C8" s="2">
        <v>199</v>
      </c>
      <c r="D8" s="2">
        <v>145</v>
      </c>
      <c r="E8" s="2">
        <v>344</v>
      </c>
    </row>
    <row r="9" spans="2:5" x14ac:dyDescent="0.35">
      <c r="B9" s="2" t="s">
        <v>34</v>
      </c>
      <c r="C9" s="2">
        <v>238</v>
      </c>
      <c r="D9" s="2">
        <v>97</v>
      </c>
      <c r="E9" s="2">
        <v>335</v>
      </c>
    </row>
    <row r="10" spans="2:5" x14ac:dyDescent="0.35">
      <c r="B10" s="2" t="s">
        <v>35</v>
      </c>
      <c r="C10" s="2">
        <v>219</v>
      </c>
      <c r="D10" s="2">
        <v>93</v>
      </c>
      <c r="E10" s="2">
        <v>312</v>
      </c>
    </row>
    <row r="11" spans="2:5" x14ac:dyDescent="0.35">
      <c r="B11" s="2" t="s">
        <v>57</v>
      </c>
      <c r="C11" s="2">
        <v>155</v>
      </c>
      <c r="D11" s="2">
        <v>83</v>
      </c>
      <c r="E11" s="2">
        <v>238</v>
      </c>
    </row>
    <row r="12" spans="2:5" x14ac:dyDescent="0.35">
      <c r="B12" s="2" t="s">
        <v>58</v>
      </c>
      <c r="C12" s="2">
        <v>132</v>
      </c>
      <c r="D12" s="2">
        <v>68</v>
      </c>
      <c r="E12" s="2">
        <v>200</v>
      </c>
    </row>
    <row r="13" spans="2:5" x14ac:dyDescent="0.35">
      <c r="B13" s="2" t="s">
        <v>36</v>
      </c>
      <c r="C13" s="2">
        <v>133</v>
      </c>
      <c r="D13" s="2">
        <v>66</v>
      </c>
      <c r="E13" s="2">
        <v>199</v>
      </c>
    </row>
    <row r="14" spans="2:5" x14ac:dyDescent="0.35">
      <c r="B14" s="2" t="s">
        <v>66</v>
      </c>
      <c r="C14" s="2">
        <v>149</v>
      </c>
      <c r="D14" s="2">
        <v>49</v>
      </c>
      <c r="E14" s="2">
        <v>198</v>
      </c>
    </row>
    <row r="15" spans="2:5" x14ac:dyDescent="0.35">
      <c r="B15" s="2" t="s">
        <v>37</v>
      </c>
      <c r="C15" s="2">
        <v>119</v>
      </c>
      <c r="D15" s="2">
        <v>65</v>
      </c>
      <c r="E15" s="2">
        <v>184</v>
      </c>
    </row>
    <row r="16" spans="2:5" x14ac:dyDescent="0.35">
      <c r="B16" s="2" t="s">
        <v>38</v>
      </c>
      <c r="C16" s="2">
        <v>104</v>
      </c>
      <c r="D16" s="2">
        <v>77</v>
      </c>
      <c r="E16" s="2">
        <v>181</v>
      </c>
    </row>
    <row r="17" spans="2:5" x14ac:dyDescent="0.35">
      <c r="B17" s="2" t="s">
        <v>70</v>
      </c>
      <c r="C17" s="2">
        <v>127</v>
      </c>
      <c r="D17" s="2">
        <v>51</v>
      </c>
      <c r="E17" s="2">
        <v>178</v>
      </c>
    </row>
    <row r="18" spans="2:5" x14ac:dyDescent="0.35">
      <c r="B18" s="2" t="s">
        <v>67</v>
      </c>
      <c r="C18" s="2">
        <v>127</v>
      </c>
      <c r="D18" s="2">
        <v>46</v>
      </c>
      <c r="E18" s="2">
        <v>173</v>
      </c>
    </row>
    <row r="19" spans="2:5" x14ac:dyDescent="0.35">
      <c r="B19" s="2" t="s">
        <v>59</v>
      </c>
      <c r="C19" s="2">
        <v>96</v>
      </c>
      <c r="D19" s="2">
        <v>70</v>
      </c>
      <c r="E19" s="2">
        <v>166</v>
      </c>
    </row>
    <row r="20" spans="2:5" x14ac:dyDescent="0.35">
      <c r="B20" s="2" t="s">
        <v>39</v>
      </c>
      <c r="C20" s="2">
        <v>112</v>
      </c>
      <c r="D20" s="2">
        <v>51</v>
      </c>
      <c r="E20" s="2">
        <v>163</v>
      </c>
    </row>
    <row r="21" spans="2:5" x14ac:dyDescent="0.35">
      <c r="B21" s="2" t="s">
        <v>71</v>
      </c>
      <c r="C21" s="2">
        <v>101</v>
      </c>
      <c r="D21" s="2">
        <v>55</v>
      </c>
      <c r="E21" s="2">
        <v>156</v>
      </c>
    </row>
    <row r="22" spans="2:5" x14ac:dyDescent="0.35">
      <c r="B22" s="2" t="s">
        <v>40</v>
      </c>
      <c r="C22" s="2">
        <v>95</v>
      </c>
      <c r="D22" s="2">
        <v>59</v>
      </c>
      <c r="E22" s="2">
        <v>154</v>
      </c>
    </row>
    <row r="23" spans="2:5" x14ac:dyDescent="0.35">
      <c r="B23" s="2" t="s">
        <v>60</v>
      </c>
      <c r="C23" s="2">
        <v>87</v>
      </c>
      <c r="D23" s="2">
        <v>45</v>
      </c>
      <c r="E23" s="2">
        <v>132</v>
      </c>
    </row>
    <row r="24" spans="2:5" x14ac:dyDescent="0.35">
      <c r="B24" s="2" t="s">
        <v>41</v>
      </c>
      <c r="C24" s="2">
        <v>85</v>
      </c>
      <c r="D24" s="2">
        <v>39</v>
      </c>
      <c r="E24" s="2">
        <v>124</v>
      </c>
    </row>
    <row r="25" spans="2:5" x14ac:dyDescent="0.35">
      <c r="B25" s="2" t="s">
        <v>42</v>
      </c>
      <c r="C25" s="2">
        <v>53</v>
      </c>
      <c r="D25" s="2">
        <v>43</v>
      </c>
      <c r="E25" s="2">
        <v>96</v>
      </c>
    </row>
    <row r="26" spans="2:5" x14ac:dyDescent="0.35">
      <c r="B26" s="2" t="s">
        <v>43</v>
      </c>
      <c r="C26" s="2">
        <v>71</v>
      </c>
      <c r="D26" s="2">
        <v>23</v>
      </c>
      <c r="E26" s="2">
        <v>94</v>
      </c>
    </row>
    <row r="27" spans="2:5" x14ac:dyDescent="0.35">
      <c r="B27" s="2" t="s">
        <v>68</v>
      </c>
      <c r="C27" s="2">
        <v>69</v>
      </c>
      <c r="D27" s="2">
        <v>25</v>
      </c>
      <c r="E27" s="2">
        <v>94</v>
      </c>
    </row>
    <row r="28" spans="2:5" x14ac:dyDescent="0.35">
      <c r="B28" s="2" t="s">
        <v>44</v>
      </c>
      <c r="C28" s="2">
        <v>58</v>
      </c>
      <c r="D28" s="2">
        <v>34</v>
      </c>
      <c r="E28" s="2">
        <v>92</v>
      </c>
    </row>
    <row r="29" spans="2:5" x14ac:dyDescent="0.35">
      <c r="B29" s="2" t="s">
        <v>61</v>
      </c>
      <c r="C29" s="2">
        <v>33</v>
      </c>
      <c r="D29" s="2">
        <v>45</v>
      </c>
      <c r="E29" s="2">
        <v>78</v>
      </c>
    </row>
    <row r="30" spans="2:5" x14ac:dyDescent="0.35">
      <c r="B30" s="2" t="s">
        <v>45</v>
      </c>
      <c r="C30" s="2">
        <v>45</v>
      </c>
      <c r="D30" s="2">
        <v>27</v>
      </c>
      <c r="E30" s="2">
        <v>72</v>
      </c>
    </row>
    <row r="31" spans="2:5" x14ac:dyDescent="0.35">
      <c r="B31" s="2" t="s">
        <v>46</v>
      </c>
      <c r="C31" s="2">
        <v>45</v>
      </c>
      <c r="D31" s="2">
        <v>10</v>
      </c>
      <c r="E31" s="2">
        <v>55</v>
      </c>
    </row>
    <row r="32" spans="2:5" x14ac:dyDescent="0.35">
      <c r="B32" s="2" t="s">
        <v>62</v>
      </c>
      <c r="C32" s="2">
        <v>37</v>
      </c>
      <c r="D32" s="2">
        <v>15</v>
      </c>
      <c r="E32" s="2">
        <v>52</v>
      </c>
    </row>
    <row r="33" spans="2:5" x14ac:dyDescent="0.35">
      <c r="B33" s="2" t="s">
        <v>47</v>
      </c>
      <c r="C33" s="2">
        <v>42</v>
      </c>
      <c r="D33" s="2">
        <v>10</v>
      </c>
      <c r="E33" s="2">
        <v>52</v>
      </c>
    </row>
    <row r="34" spans="2:5" x14ac:dyDescent="0.35">
      <c r="B34" s="2" t="s">
        <v>72</v>
      </c>
      <c r="C34" s="2">
        <v>26</v>
      </c>
      <c r="D34" s="2">
        <v>5</v>
      </c>
      <c r="E34" s="2">
        <v>31</v>
      </c>
    </row>
    <row r="35" spans="2:5" x14ac:dyDescent="0.35">
      <c r="B35" s="2" t="s">
        <v>48</v>
      </c>
      <c r="C35" s="2">
        <v>17</v>
      </c>
      <c r="D35" s="2">
        <v>2</v>
      </c>
      <c r="E35" s="2">
        <v>19</v>
      </c>
    </row>
    <row r="36" spans="2:5" x14ac:dyDescent="0.35">
      <c r="B36" s="2" t="s">
        <v>73</v>
      </c>
      <c r="C36" s="2">
        <v>10</v>
      </c>
      <c r="D36" s="2">
        <v>9</v>
      </c>
      <c r="E36" s="2">
        <v>19</v>
      </c>
    </row>
    <row r="37" spans="2:5" x14ac:dyDescent="0.35">
      <c r="B37" s="2" t="s">
        <v>49</v>
      </c>
      <c r="C37" s="2">
        <v>9</v>
      </c>
      <c r="D37" s="2">
        <v>3</v>
      </c>
      <c r="E37" s="2">
        <v>12</v>
      </c>
    </row>
    <row r="38" spans="2:5" x14ac:dyDescent="0.35">
      <c r="B38" s="19" t="s">
        <v>7</v>
      </c>
      <c r="C38" s="19">
        <v>3466</v>
      </c>
      <c r="D38" s="19">
        <v>1841</v>
      </c>
      <c r="E38" s="19">
        <v>5307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2AED-D6AB-431D-9C5A-83962A17F365}">
  <dimension ref="B2:Z39"/>
  <sheetViews>
    <sheetView tabSelected="1" topLeftCell="A2" workbookViewId="0">
      <selection activeCell="B37" sqref="B37"/>
    </sheetView>
  </sheetViews>
  <sheetFormatPr defaultRowHeight="14.5" x14ac:dyDescent="0.35"/>
  <cols>
    <col min="1" max="1" width="8.7265625" style="7"/>
    <col min="2" max="2" width="25.7265625" style="7" bestFit="1" customWidth="1"/>
    <col min="3" max="16384" width="8.7265625" style="7"/>
  </cols>
  <sheetData>
    <row r="2" spans="2:26" x14ac:dyDescent="0.35">
      <c r="B2" s="17" t="s">
        <v>52</v>
      </c>
    </row>
    <row r="3" spans="2:26" ht="15" thickBot="1" x14ac:dyDescent="0.4"/>
    <row r="4" spans="2:26" ht="15" thickBot="1" x14ac:dyDescent="0.4">
      <c r="B4"/>
      <c r="C4" s="69" t="s">
        <v>23</v>
      </c>
      <c r="D4" s="70"/>
      <c r="E4" s="70"/>
      <c r="F4" s="69" t="s">
        <v>24</v>
      </c>
      <c r="G4" s="70"/>
      <c r="H4" s="71"/>
      <c r="I4" s="69" t="s">
        <v>25</v>
      </c>
      <c r="J4" s="70"/>
      <c r="K4" s="71"/>
      <c r="L4" s="69" t="s">
        <v>26</v>
      </c>
      <c r="M4" s="70"/>
      <c r="N4" s="71"/>
      <c r="O4" s="69" t="s">
        <v>27</v>
      </c>
      <c r="P4" s="70"/>
      <c r="Q4" s="71"/>
      <c r="R4" s="69" t="s">
        <v>28</v>
      </c>
      <c r="S4" s="70"/>
      <c r="T4" s="71"/>
      <c r="U4" s="69" t="s">
        <v>29</v>
      </c>
      <c r="V4" s="70"/>
      <c r="W4" s="71"/>
      <c r="X4" s="69" t="s">
        <v>30</v>
      </c>
      <c r="Y4" s="70"/>
      <c r="Z4" s="71"/>
    </row>
    <row r="5" spans="2:26" ht="15" thickBot="1" x14ac:dyDescent="0.4">
      <c r="B5" s="46" t="s">
        <v>50</v>
      </c>
      <c r="C5" s="39" t="s">
        <v>31</v>
      </c>
      <c r="D5" s="40" t="s">
        <v>32</v>
      </c>
      <c r="E5" s="41" t="s">
        <v>7</v>
      </c>
      <c r="F5" s="39" t="s">
        <v>31</v>
      </c>
      <c r="G5" s="40" t="s">
        <v>32</v>
      </c>
      <c r="H5" s="42" t="s">
        <v>7</v>
      </c>
      <c r="I5" s="39" t="s">
        <v>31</v>
      </c>
      <c r="J5" s="40" t="s">
        <v>32</v>
      </c>
      <c r="K5" s="42" t="s">
        <v>7</v>
      </c>
      <c r="L5" s="39" t="s">
        <v>31</v>
      </c>
      <c r="M5" s="40" t="s">
        <v>32</v>
      </c>
      <c r="N5" s="42" t="s">
        <v>7</v>
      </c>
      <c r="O5" s="39" t="s">
        <v>31</v>
      </c>
      <c r="P5" s="40" t="s">
        <v>32</v>
      </c>
      <c r="Q5" s="42" t="s">
        <v>7</v>
      </c>
      <c r="R5" s="39" t="s">
        <v>31</v>
      </c>
      <c r="S5" s="40" t="s">
        <v>32</v>
      </c>
      <c r="T5" s="42" t="s">
        <v>7</v>
      </c>
      <c r="U5" s="39" t="s">
        <v>31</v>
      </c>
      <c r="V5" s="40" t="s">
        <v>32</v>
      </c>
      <c r="W5" s="42" t="s">
        <v>7</v>
      </c>
      <c r="X5" s="39" t="s">
        <v>31</v>
      </c>
      <c r="Y5" s="43" t="s">
        <v>32</v>
      </c>
      <c r="Z5" s="42" t="s">
        <v>7</v>
      </c>
    </row>
    <row r="6" spans="2:26" x14ac:dyDescent="0.35">
      <c r="B6" s="47" t="s">
        <v>33</v>
      </c>
      <c r="C6" s="27">
        <v>419</v>
      </c>
      <c r="D6" s="28">
        <v>551</v>
      </c>
      <c r="E6" s="29">
        <f>SUM(C6:D6)</f>
        <v>970</v>
      </c>
      <c r="F6" s="27">
        <v>406</v>
      </c>
      <c r="G6" s="28">
        <v>630</v>
      </c>
      <c r="H6" s="30">
        <f>SUM(F6:G6)</f>
        <v>1036</v>
      </c>
      <c r="I6" s="27">
        <v>316</v>
      </c>
      <c r="J6" s="28">
        <v>406</v>
      </c>
      <c r="K6" s="30">
        <f>SUM(I6:J6)</f>
        <v>722</v>
      </c>
      <c r="L6" s="27">
        <v>633</v>
      </c>
      <c r="M6" s="28">
        <v>643</v>
      </c>
      <c r="N6" s="30">
        <f>SUM(L6:M6)</f>
        <v>1276</v>
      </c>
      <c r="O6" s="27">
        <v>657</v>
      </c>
      <c r="P6" s="28">
        <v>766</v>
      </c>
      <c r="Q6" s="30">
        <f>SUM(O6:P6)</f>
        <v>1423</v>
      </c>
      <c r="R6" s="27">
        <v>402</v>
      </c>
      <c r="S6" s="28">
        <v>385</v>
      </c>
      <c r="T6" s="30">
        <f>SUM(R6:S6)</f>
        <v>787</v>
      </c>
      <c r="U6" s="27">
        <v>33</v>
      </c>
      <c r="V6" s="28">
        <v>119</v>
      </c>
      <c r="W6" s="30">
        <f>SUM(U6:V6)</f>
        <v>152</v>
      </c>
      <c r="X6" s="27">
        <v>0</v>
      </c>
      <c r="Y6" s="28">
        <v>0</v>
      </c>
      <c r="Z6" s="30">
        <f>SUM(X6:Y6)</f>
        <v>0</v>
      </c>
    </row>
    <row r="7" spans="2:26" x14ac:dyDescent="0.35">
      <c r="B7" s="48" t="s">
        <v>233</v>
      </c>
      <c r="C7" s="24">
        <v>75</v>
      </c>
      <c r="D7" s="2">
        <v>84</v>
      </c>
      <c r="E7" s="23">
        <f t="shared" ref="E7:E38" si="0">SUM(C7:D7)</f>
        <v>159</v>
      </c>
      <c r="F7" s="24">
        <v>119</v>
      </c>
      <c r="G7" s="2">
        <v>128</v>
      </c>
      <c r="H7" s="25">
        <f t="shared" ref="H7:H38" si="1">SUM(F7:G7)</f>
        <v>247</v>
      </c>
      <c r="I7" s="24">
        <v>60</v>
      </c>
      <c r="J7" s="2">
        <v>158</v>
      </c>
      <c r="K7" s="25">
        <f t="shared" ref="K7:K38" si="2">SUM(I7:J7)</f>
        <v>218</v>
      </c>
      <c r="L7" s="24">
        <v>170</v>
      </c>
      <c r="M7" s="2">
        <v>246</v>
      </c>
      <c r="N7" s="25">
        <f t="shared" ref="N7:N38" si="3">SUM(L7:M7)</f>
        <v>416</v>
      </c>
      <c r="O7" s="24">
        <v>217</v>
      </c>
      <c r="P7" s="2">
        <v>293</v>
      </c>
      <c r="Q7" s="25">
        <f t="shared" ref="Q7:Q38" si="4">SUM(O7:P7)</f>
        <v>510</v>
      </c>
      <c r="R7" s="24">
        <v>73</v>
      </c>
      <c r="S7" s="2">
        <v>94</v>
      </c>
      <c r="T7" s="25">
        <f t="shared" ref="T7:T38" si="5">SUM(R7:S7)</f>
        <v>167</v>
      </c>
      <c r="U7" s="24">
        <v>6</v>
      </c>
      <c r="V7" s="2">
        <v>7</v>
      </c>
      <c r="W7" s="25">
        <f t="shared" ref="W7:W38" si="6">SUM(U7:V7)</f>
        <v>13</v>
      </c>
      <c r="X7" s="24">
        <v>0</v>
      </c>
      <c r="Y7" s="2">
        <v>0</v>
      </c>
      <c r="Z7" s="25">
        <f t="shared" ref="Z7:Z38" si="7">SUM(X7:Y7)</f>
        <v>0</v>
      </c>
    </row>
    <row r="8" spans="2:26" x14ac:dyDescent="0.35">
      <c r="B8" s="48" t="s">
        <v>56</v>
      </c>
      <c r="C8" s="24">
        <v>406</v>
      </c>
      <c r="D8" s="2">
        <v>548</v>
      </c>
      <c r="E8" s="23">
        <f t="shared" si="0"/>
        <v>954</v>
      </c>
      <c r="F8" s="24">
        <v>674</v>
      </c>
      <c r="G8" s="2">
        <v>708</v>
      </c>
      <c r="H8" s="25">
        <f t="shared" si="1"/>
        <v>1382</v>
      </c>
      <c r="I8" s="24">
        <v>439</v>
      </c>
      <c r="J8" s="2">
        <v>342</v>
      </c>
      <c r="K8" s="25">
        <f t="shared" si="2"/>
        <v>781</v>
      </c>
      <c r="L8" s="24">
        <v>896</v>
      </c>
      <c r="M8" s="2">
        <v>860</v>
      </c>
      <c r="N8" s="25">
        <f t="shared" si="3"/>
        <v>1756</v>
      </c>
      <c r="O8" s="24">
        <v>574</v>
      </c>
      <c r="P8" s="2">
        <v>1017</v>
      </c>
      <c r="Q8" s="25">
        <f t="shared" si="4"/>
        <v>1591</v>
      </c>
      <c r="R8" s="24">
        <v>277</v>
      </c>
      <c r="S8" s="2">
        <v>198</v>
      </c>
      <c r="T8" s="25">
        <f t="shared" si="5"/>
        <v>475</v>
      </c>
      <c r="U8" s="24">
        <v>109</v>
      </c>
      <c r="V8" s="2">
        <v>46</v>
      </c>
      <c r="W8" s="25">
        <f t="shared" si="6"/>
        <v>155</v>
      </c>
      <c r="X8" s="24">
        <v>0</v>
      </c>
      <c r="Y8" s="2">
        <v>9</v>
      </c>
      <c r="Z8" s="25">
        <f t="shared" si="7"/>
        <v>9</v>
      </c>
    </row>
    <row r="9" spans="2:26" x14ac:dyDescent="0.35">
      <c r="B9" s="48" t="s">
        <v>65</v>
      </c>
      <c r="C9" s="24">
        <v>188</v>
      </c>
      <c r="D9" s="2">
        <v>161</v>
      </c>
      <c r="E9" s="23">
        <f t="shared" si="0"/>
        <v>349</v>
      </c>
      <c r="F9" s="24">
        <v>328</v>
      </c>
      <c r="G9" s="2">
        <v>304</v>
      </c>
      <c r="H9" s="25">
        <f t="shared" si="1"/>
        <v>632</v>
      </c>
      <c r="I9" s="24">
        <v>176</v>
      </c>
      <c r="J9" s="2">
        <v>429</v>
      </c>
      <c r="K9" s="25">
        <f t="shared" si="2"/>
        <v>605</v>
      </c>
      <c r="L9" s="24">
        <v>517</v>
      </c>
      <c r="M9" s="2">
        <v>900</v>
      </c>
      <c r="N9" s="25">
        <f t="shared" si="3"/>
        <v>1417</v>
      </c>
      <c r="O9" s="24">
        <v>538</v>
      </c>
      <c r="P9" s="2">
        <v>758</v>
      </c>
      <c r="Q9" s="25">
        <f t="shared" si="4"/>
        <v>1296</v>
      </c>
      <c r="R9" s="24">
        <v>162</v>
      </c>
      <c r="S9" s="2">
        <v>195</v>
      </c>
      <c r="T9" s="25">
        <f t="shared" si="5"/>
        <v>357</v>
      </c>
      <c r="U9" s="24">
        <v>15</v>
      </c>
      <c r="V9" s="2">
        <v>23</v>
      </c>
      <c r="W9" s="25">
        <f t="shared" si="6"/>
        <v>38</v>
      </c>
      <c r="X9" s="24">
        <v>0</v>
      </c>
      <c r="Y9" s="2">
        <v>1</v>
      </c>
      <c r="Z9" s="25">
        <f t="shared" si="7"/>
        <v>1</v>
      </c>
    </row>
    <row r="10" spans="2:26" x14ac:dyDescent="0.35">
      <c r="B10" s="48" t="s">
        <v>34</v>
      </c>
      <c r="C10" s="24">
        <v>461</v>
      </c>
      <c r="D10" s="2">
        <v>528</v>
      </c>
      <c r="E10" s="23">
        <f t="shared" si="0"/>
        <v>989</v>
      </c>
      <c r="F10" s="24">
        <v>545</v>
      </c>
      <c r="G10" s="2">
        <v>590</v>
      </c>
      <c r="H10" s="25">
        <f t="shared" si="1"/>
        <v>1135</v>
      </c>
      <c r="I10" s="24">
        <v>324</v>
      </c>
      <c r="J10" s="2">
        <v>406</v>
      </c>
      <c r="K10" s="25">
        <f t="shared" si="2"/>
        <v>730</v>
      </c>
      <c r="L10" s="24">
        <v>1069</v>
      </c>
      <c r="M10" s="2">
        <v>1201</v>
      </c>
      <c r="N10" s="25">
        <f t="shared" si="3"/>
        <v>2270</v>
      </c>
      <c r="O10" s="24">
        <v>895</v>
      </c>
      <c r="P10" s="2">
        <v>1159</v>
      </c>
      <c r="Q10" s="25">
        <f t="shared" si="4"/>
        <v>2054</v>
      </c>
      <c r="R10" s="24">
        <v>376</v>
      </c>
      <c r="S10" s="2">
        <v>404</v>
      </c>
      <c r="T10" s="25">
        <f t="shared" si="5"/>
        <v>780</v>
      </c>
      <c r="U10" s="24">
        <v>15</v>
      </c>
      <c r="V10" s="2">
        <v>48</v>
      </c>
      <c r="W10" s="25">
        <f t="shared" si="6"/>
        <v>63</v>
      </c>
      <c r="X10" s="24">
        <v>0</v>
      </c>
      <c r="Y10" s="2">
        <v>0</v>
      </c>
      <c r="Z10" s="25">
        <f t="shared" si="7"/>
        <v>0</v>
      </c>
    </row>
    <row r="11" spans="2:26" x14ac:dyDescent="0.35">
      <c r="B11" s="48" t="s">
        <v>35</v>
      </c>
      <c r="C11" s="24">
        <v>131</v>
      </c>
      <c r="D11" s="2">
        <v>111</v>
      </c>
      <c r="E11" s="23">
        <f t="shared" si="0"/>
        <v>242</v>
      </c>
      <c r="F11" s="24">
        <v>280</v>
      </c>
      <c r="G11" s="2">
        <v>315</v>
      </c>
      <c r="H11" s="25">
        <f t="shared" si="1"/>
        <v>595</v>
      </c>
      <c r="I11" s="24">
        <v>185</v>
      </c>
      <c r="J11" s="2">
        <v>396</v>
      </c>
      <c r="K11" s="25">
        <f t="shared" si="2"/>
        <v>581</v>
      </c>
      <c r="L11" s="24">
        <v>461</v>
      </c>
      <c r="M11" s="2">
        <v>701</v>
      </c>
      <c r="N11" s="25">
        <f t="shared" si="3"/>
        <v>1162</v>
      </c>
      <c r="O11" s="24">
        <v>445</v>
      </c>
      <c r="P11" s="2">
        <v>621</v>
      </c>
      <c r="Q11" s="25">
        <f t="shared" si="4"/>
        <v>1066</v>
      </c>
      <c r="R11" s="24">
        <v>125</v>
      </c>
      <c r="S11" s="2">
        <v>156</v>
      </c>
      <c r="T11" s="25">
        <f t="shared" si="5"/>
        <v>281</v>
      </c>
      <c r="U11" s="24">
        <v>3</v>
      </c>
      <c r="V11" s="2">
        <v>10</v>
      </c>
      <c r="W11" s="25">
        <f t="shared" si="6"/>
        <v>13</v>
      </c>
      <c r="X11" s="24">
        <v>0</v>
      </c>
      <c r="Y11" s="2">
        <v>0</v>
      </c>
      <c r="Z11" s="25">
        <f t="shared" si="7"/>
        <v>0</v>
      </c>
    </row>
    <row r="12" spans="2:26" x14ac:dyDescent="0.35">
      <c r="B12" s="48" t="s">
        <v>234</v>
      </c>
      <c r="C12" s="24">
        <v>109</v>
      </c>
      <c r="D12" s="2">
        <v>110</v>
      </c>
      <c r="E12" s="23">
        <f>SUM(C12:D12)</f>
        <v>219</v>
      </c>
      <c r="F12" s="24">
        <v>153</v>
      </c>
      <c r="G12" s="2">
        <v>179</v>
      </c>
      <c r="H12" s="25">
        <f t="shared" si="1"/>
        <v>332</v>
      </c>
      <c r="I12" s="24">
        <v>120</v>
      </c>
      <c r="J12" s="2">
        <v>177</v>
      </c>
      <c r="K12" s="25">
        <f t="shared" si="2"/>
        <v>297</v>
      </c>
      <c r="L12" s="24">
        <v>245</v>
      </c>
      <c r="M12" s="2">
        <v>338</v>
      </c>
      <c r="N12" s="25">
        <f t="shared" si="3"/>
        <v>583</v>
      </c>
      <c r="O12" s="24">
        <v>300</v>
      </c>
      <c r="P12" s="2">
        <v>369</v>
      </c>
      <c r="Q12" s="25">
        <f>SUM(O12:P12)</f>
        <v>669</v>
      </c>
      <c r="R12" s="24">
        <v>91</v>
      </c>
      <c r="S12" s="2">
        <v>93</v>
      </c>
      <c r="T12" s="25">
        <f t="shared" si="5"/>
        <v>184</v>
      </c>
      <c r="U12" s="24">
        <v>2</v>
      </c>
      <c r="V12" s="2">
        <v>7</v>
      </c>
      <c r="W12" s="25">
        <f t="shared" si="6"/>
        <v>9</v>
      </c>
      <c r="X12" s="24">
        <v>0</v>
      </c>
      <c r="Y12" s="2">
        <v>0</v>
      </c>
      <c r="Z12" s="25">
        <f t="shared" si="7"/>
        <v>0</v>
      </c>
    </row>
    <row r="13" spans="2:26" x14ac:dyDescent="0.35">
      <c r="B13" s="48" t="s">
        <v>235</v>
      </c>
      <c r="C13" s="24">
        <v>131</v>
      </c>
      <c r="D13" s="2">
        <v>219</v>
      </c>
      <c r="E13" s="23">
        <f>SUM(C13:D13)</f>
        <v>350</v>
      </c>
      <c r="F13" s="24">
        <v>215</v>
      </c>
      <c r="G13" s="2">
        <v>300</v>
      </c>
      <c r="H13" s="25">
        <f>SUM(F13:G13)</f>
        <v>515</v>
      </c>
      <c r="I13" s="24">
        <v>149</v>
      </c>
      <c r="J13" s="2">
        <v>177</v>
      </c>
      <c r="K13" s="25">
        <f>SUM(I13:J13)</f>
        <v>326</v>
      </c>
      <c r="L13" s="24">
        <v>456</v>
      </c>
      <c r="M13" s="2">
        <v>414</v>
      </c>
      <c r="N13" s="25">
        <f>SUM(L13:M13)</f>
        <v>870</v>
      </c>
      <c r="O13" s="24">
        <v>391</v>
      </c>
      <c r="P13" s="2">
        <v>315</v>
      </c>
      <c r="Q13" s="25">
        <f>SUM(O13:P13)</f>
        <v>706</v>
      </c>
      <c r="R13" s="24">
        <v>160</v>
      </c>
      <c r="S13" s="2">
        <v>242</v>
      </c>
      <c r="T13" s="25">
        <f>SUM(R13:S13)</f>
        <v>402</v>
      </c>
      <c r="U13" s="24">
        <v>15</v>
      </c>
      <c r="V13" s="2">
        <v>13</v>
      </c>
      <c r="W13" s="25">
        <f>SUM(U13:V13)</f>
        <v>28</v>
      </c>
      <c r="X13" s="24">
        <v>1</v>
      </c>
      <c r="Y13" s="2">
        <v>0</v>
      </c>
      <c r="Z13" s="25">
        <f t="shared" si="7"/>
        <v>1</v>
      </c>
    </row>
    <row r="14" spans="2:26" x14ac:dyDescent="0.35">
      <c r="B14" s="48" t="s">
        <v>36</v>
      </c>
      <c r="C14" s="24">
        <v>8</v>
      </c>
      <c r="D14" s="2">
        <v>6</v>
      </c>
      <c r="E14" s="23">
        <f t="shared" si="0"/>
        <v>14</v>
      </c>
      <c r="F14" s="24">
        <v>132</v>
      </c>
      <c r="G14" s="2">
        <v>128</v>
      </c>
      <c r="H14" s="25">
        <f t="shared" si="1"/>
        <v>260</v>
      </c>
      <c r="I14" s="24">
        <v>100</v>
      </c>
      <c r="J14" s="2">
        <v>158</v>
      </c>
      <c r="K14" s="25">
        <f t="shared" si="2"/>
        <v>258</v>
      </c>
      <c r="L14" s="24">
        <v>243</v>
      </c>
      <c r="M14" s="2">
        <v>306</v>
      </c>
      <c r="N14" s="25">
        <f t="shared" si="3"/>
        <v>549</v>
      </c>
      <c r="O14" s="24">
        <v>234</v>
      </c>
      <c r="P14" s="2">
        <v>247</v>
      </c>
      <c r="Q14" s="25">
        <f t="shared" si="4"/>
        <v>481</v>
      </c>
      <c r="R14" s="24">
        <v>67</v>
      </c>
      <c r="S14" s="2">
        <v>89</v>
      </c>
      <c r="T14" s="25">
        <f t="shared" si="5"/>
        <v>156</v>
      </c>
      <c r="U14" s="24">
        <v>6</v>
      </c>
      <c r="V14" s="2">
        <v>12</v>
      </c>
      <c r="W14" s="25">
        <f t="shared" si="6"/>
        <v>18</v>
      </c>
      <c r="X14" s="24">
        <v>0</v>
      </c>
      <c r="Y14" s="2">
        <v>0</v>
      </c>
      <c r="Z14" s="25">
        <f t="shared" si="7"/>
        <v>0</v>
      </c>
    </row>
    <row r="15" spans="2:26" x14ac:dyDescent="0.35">
      <c r="B15" s="48" t="s">
        <v>236</v>
      </c>
      <c r="C15" s="24">
        <v>97</v>
      </c>
      <c r="D15" s="2">
        <v>75</v>
      </c>
      <c r="E15" s="23">
        <f t="shared" si="0"/>
        <v>172</v>
      </c>
      <c r="F15" s="24">
        <v>188</v>
      </c>
      <c r="G15" s="2">
        <v>163</v>
      </c>
      <c r="H15" s="25">
        <f t="shared" si="1"/>
        <v>351</v>
      </c>
      <c r="I15" s="24">
        <v>119</v>
      </c>
      <c r="J15" s="2">
        <v>205</v>
      </c>
      <c r="K15" s="25">
        <f t="shared" si="2"/>
        <v>324</v>
      </c>
      <c r="L15" s="24">
        <v>249</v>
      </c>
      <c r="M15" s="2">
        <v>384</v>
      </c>
      <c r="N15" s="25">
        <f t="shared" si="3"/>
        <v>633</v>
      </c>
      <c r="O15" s="24">
        <v>253</v>
      </c>
      <c r="P15" s="2">
        <v>388</v>
      </c>
      <c r="Q15" s="25">
        <f t="shared" si="4"/>
        <v>641</v>
      </c>
      <c r="R15" s="24">
        <v>90</v>
      </c>
      <c r="S15" s="2">
        <v>105</v>
      </c>
      <c r="T15" s="25">
        <f t="shared" si="5"/>
        <v>195</v>
      </c>
      <c r="U15" s="24">
        <v>7</v>
      </c>
      <c r="V15" s="2">
        <v>4</v>
      </c>
      <c r="W15" s="25">
        <f t="shared" si="6"/>
        <v>11</v>
      </c>
      <c r="X15" s="24">
        <v>0</v>
      </c>
      <c r="Y15" s="2">
        <v>0</v>
      </c>
      <c r="Z15" s="25">
        <f t="shared" si="7"/>
        <v>0</v>
      </c>
    </row>
    <row r="16" spans="2:26" x14ac:dyDescent="0.35">
      <c r="B16" s="48" t="s">
        <v>37</v>
      </c>
      <c r="C16" s="24">
        <v>111</v>
      </c>
      <c r="D16" s="2">
        <v>130</v>
      </c>
      <c r="E16" s="23">
        <f t="shared" si="0"/>
        <v>241</v>
      </c>
      <c r="F16" s="24">
        <v>135</v>
      </c>
      <c r="G16" s="2">
        <v>130</v>
      </c>
      <c r="H16" s="25">
        <f t="shared" si="1"/>
        <v>265</v>
      </c>
      <c r="I16" s="24">
        <v>86</v>
      </c>
      <c r="J16" s="2">
        <v>136</v>
      </c>
      <c r="K16" s="25">
        <f t="shared" si="2"/>
        <v>222</v>
      </c>
      <c r="L16" s="24">
        <v>249</v>
      </c>
      <c r="M16" s="2">
        <v>237</v>
      </c>
      <c r="N16" s="25">
        <f t="shared" si="3"/>
        <v>486</v>
      </c>
      <c r="O16" s="24">
        <v>229</v>
      </c>
      <c r="P16" s="2">
        <v>245</v>
      </c>
      <c r="Q16" s="25">
        <f t="shared" si="4"/>
        <v>474</v>
      </c>
      <c r="R16" s="24">
        <v>59</v>
      </c>
      <c r="S16" s="2">
        <v>61</v>
      </c>
      <c r="T16" s="25">
        <f t="shared" si="5"/>
        <v>120</v>
      </c>
      <c r="U16" s="24">
        <v>5</v>
      </c>
      <c r="V16" s="2">
        <v>1</v>
      </c>
      <c r="W16" s="25">
        <f t="shared" si="6"/>
        <v>6</v>
      </c>
      <c r="X16" s="24">
        <v>0</v>
      </c>
      <c r="Y16" s="2">
        <v>1</v>
      </c>
      <c r="Z16" s="25">
        <f t="shared" si="7"/>
        <v>1</v>
      </c>
    </row>
    <row r="17" spans="2:26" x14ac:dyDescent="0.35">
      <c r="B17" s="48" t="s">
        <v>38</v>
      </c>
      <c r="C17" s="24">
        <v>206</v>
      </c>
      <c r="D17" s="2">
        <v>231</v>
      </c>
      <c r="E17" s="23">
        <f t="shared" si="0"/>
        <v>437</v>
      </c>
      <c r="F17" s="24">
        <v>360</v>
      </c>
      <c r="G17" s="2">
        <v>262</v>
      </c>
      <c r="H17" s="25">
        <f t="shared" si="1"/>
        <v>622</v>
      </c>
      <c r="I17" s="24">
        <v>217</v>
      </c>
      <c r="J17" s="2">
        <v>389</v>
      </c>
      <c r="K17" s="25">
        <f t="shared" si="2"/>
        <v>606</v>
      </c>
      <c r="L17" s="24">
        <v>550</v>
      </c>
      <c r="M17" s="2">
        <v>779</v>
      </c>
      <c r="N17" s="25">
        <f t="shared" si="3"/>
        <v>1329</v>
      </c>
      <c r="O17" s="24">
        <v>711</v>
      </c>
      <c r="P17" s="2">
        <v>869</v>
      </c>
      <c r="Q17" s="25">
        <f t="shared" si="4"/>
        <v>1580</v>
      </c>
      <c r="R17" s="24">
        <v>198</v>
      </c>
      <c r="S17" s="2">
        <v>205</v>
      </c>
      <c r="T17" s="25">
        <f t="shared" si="5"/>
        <v>403</v>
      </c>
      <c r="U17" s="24">
        <v>17</v>
      </c>
      <c r="V17" s="2">
        <v>67</v>
      </c>
      <c r="W17" s="25">
        <f t="shared" si="6"/>
        <v>84</v>
      </c>
      <c r="X17" s="24">
        <v>0</v>
      </c>
      <c r="Y17" s="2">
        <v>0</v>
      </c>
      <c r="Z17" s="25">
        <f t="shared" si="7"/>
        <v>0</v>
      </c>
    </row>
    <row r="18" spans="2:26" x14ac:dyDescent="0.35">
      <c r="B18" s="48" t="s">
        <v>237</v>
      </c>
      <c r="C18" s="24">
        <v>412</v>
      </c>
      <c r="D18" s="2">
        <v>523</v>
      </c>
      <c r="E18" s="23">
        <f t="shared" si="0"/>
        <v>935</v>
      </c>
      <c r="F18" s="24">
        <v>672</v>
      </c>
      <c r="G18" s="2">
        <v>853</v>
      </c>
      <c r="H18" s="25">
        <f t="shared" si="1"/>
        <v>1525</v>
      </c>
      <c r="I18" s="24">
        <v>241</v>
      </c>
      <c r="J18" s="2">
        <v>452</v>
      </c>
      <c r="K18" s="25">
        <f t="shared" si="2"/>
        <v>693</v>
      </c>
      <c r="L18" s="24">
        <v>624</v>
      </c>
      <c r="M18" s="2">
        <v>837</v>
      </c>
      <c r="N18" s="25">
        <f t="shared" si="3"/>
        <v>1461</v>
      </c>
      <c r="O18" s="24">
        <v>1130</v>
      </c>
      <c r="P18" s="2">
        <v>1354</v>
      </c>
      <c r="Q18" s="25">
        <f t="shared" si="4"/>
        <v>2484</v>
      </c>
      <c r="R18" s="24">
        <v>535</v>
      </c>
      <c r="S18" s="2">
        <v>316</v>
      </c>
      <c r="T18" s="25">
        <f t="shared" si="5"/>
        <v>851</v>
      </c>
      <c r="U18" s="24">
        <v>28</v>
      </c>
      <c r="V18" s="2">
        <v>25</v>
      </c>
      <c r="W18" s="25">
        <f t="shared" si="6"/>
        <v>53</v>
      </c>
      <c r="X18" s="24">
        <v>0</v>
      </c>
      <c r="Y18" s="2">
        <v>0</v>
      </c>
      <c r="Z18" s="25">
        <f t="shared" si="7"/>
        <v>0</v>
      </c>
    </row>
    <row r="19" spans="2:26" x14ac:dyDescent="0.35">
      <c r="B19" s="48" t="s">
        <v>238</v>
      </c>
      <c r="C19" s="24">
        <v>94</v>
      </c>
      <c r="D19" s="2">
        <v>95</v>
      </c>
      <c r="E19" s="23">
        <f t="shared" si="0"/>
        <v>189</v>
      </c>
      <c r="F19" s="24">
        <v>206</v>
      </c>
      <c r="G19" s="2">
        <v>204</v>
      </c>
      <c r="H19" s="25">
        <f t="shared" si="1"/>
        <v>410</v>
      </c>
      <c r="I19" s="24">
        <v>149</v>
      </c>
      <c r="J19" s="2">
        <v>250</v>
      </c>
      <c r="K19" s="25">
        <f t="shared" si="2"/>
        <v>399</v>
      </c>
      <c r="L19" s="24">
        <v>428</v>
      </c>
      <c r="M19" s="2">
        <v>477</v>
      </c>
      <c r="N19" s="25">
        <f t="shared" si="3"/>
        <v>905</v>
      </c>
      <c r="O19" s="24">
        <v>412</v>
      </c>
      <c r="P19" s="2">
        <v>431</v>
      </c>
      <c r="Q19" s="25">
        <f t="shared" si="4"/>
        <v>843</v>
      </c>
      <c r="R19" s="24">
        <v>100</v>
      </c>
      <c r="S19" s="2">
        <v>118</v>
      </c>
      <c r="T19" s="25">
        <f t="shared" si="5"/>
        <v>218</v>
      </c>
      <c r="U19" s="24">
        <v>11</v>
      </c>
      <c r="V19" s="2">
        <v>6</v>
      </c>
      <c r="W19" s="25">
        <f t="shared" si="6"/>
        <v>17</v>
      </c>
      <c r="X19" s="24">
        <v>0</v>
      </c>
      <c r="Y19" s="2">
        <v>0</v>
      </c>
      <c r="Z19" s="25">
        <f t="shared" si="7"/>
        <v>0</v>
      </c>
    </row>
    <row r="20" spans="2:26" x14ac:dyDescent="0.35">
      <c r="B20" s="48" t="s">
        <v>239</v>
      </c>
      <c r="C20" s="24">
        <v>76</v>
      </c>
      <c r="D20" s="2">
        <v>42</v>
      </c>
      <c r="E20" s="23">
        <f t="shared" si="0"/>
        <v>118</v>
      </c>
      <c r="F20" s="24">
        <v>117</v>
      </c>
      <c r="G20" s="2">
        <v>130</v>
      </c>
      <c r="H20" s="25">
        <f t="shared" si="1"/>
        <v>247</v>
      </c>
      <c r="I20" s="24">
        <v>57</v>
      </c>
      <c r="J20" s="2">
        <v>105</v>
      </c>
      <c r="K20" s="25">
        <f t="shared" si="2"/>
        <v>162</v>
      </c>
      <c r="L20" s="24">
        <v>263</v>
      </c>
      <c r="M20" s="2">
        <v>206</v>
      </c>
      <c r="N20" s="25">
        <f t="shared" si="3"/>
        <v>469</v>
      </c>
      <c r="O20" s="24">
        <v>236</v>
      </c>
      <c r="P20" s="2">
        <v>220</v>
      </c>
      <c r="Q20" s="25">
        <f t="shared" si="4"/>
        <v>456</v>
      </c>
      <c r="R20" s="24">
        <v>47</v>
      </c>
      <c r="S20" s="2">
        <v>34</v>
      </c>
      <c r="T20" s="25">
        <f t="shared" si="5"/>
        <v>81</v>
      </c>
      <c r="U20" s="24">
        <v>2</v>
      </c>
      <c r="V20" s="2">
        <v>1</v>
      </c>
      <c r="W20" s="25">
        <f t="shared" si="6"/>
        <v>3</v>
      </c>
      <c r="X20" s="24">
        <v>0</v>
      </c>
      <c r="Y20" s="2">
        <v>1</v>
      </c>
      <c r="Z20" s="25">
        <f>SUM(X20:Y20)</f>
        <v>1</v>
      </c>
    </row>
    <row r="21" spans="2:26" x14ac:dyDescent="0.35">
      <c r="B21" s="48" t="s">
        <v>39</v>
      </c>
      <c r="C21" s="24">
        <v>409</v>
      </c>
      <c r="D21" s="2">
        <v>451</v>
      </c>
      <c r="E21" s="23">
        <f t="shared" si="0"/>
        <v>860</v>
      </c>
      <c r="F21" s="24">
        <v>575</v>
      </c>
      <c r="G21" s="2">
        <v>612</v>
      </c>
      <c r="H21" s="25">
        <f t="shared" si="1"/>
        <v>1187</v>
      </c>
      <c r="I21" s="24">
        <v>722</v>
      </c>
      <c r="J21" s="2">
        <v>748</v>
      </c>
      <c r="K21" s="25">
        <f t="shared" si="2"/>
        <v>1470</v>
      </c>
      <c r="L21" s="24">
        <v>1506</v>
      </c>
      <c r="M21" s="2">
        <v>711</v>
      </c>
      <c r="N21" s="25">
        <f t="shared" si="3"/>
        <v>2217</v>
      </c>
      <c r="O21" s="24">
        <v>576</v>
      </c>
      <c r="P21" s="2">
        <v>656</v>
      </c>
      <c r="Q21" s="25">
        <f t="shared" si="4"/>
        <v>1232</v>
      </c>
      <c r="R21" s="24">
        <v>262</v>
      </c>
      <c r="S21" s="2">
        <v>423</v>
      </c>
      <c r="T21" s="25">
        <f t="shared" si="5"/>
        <v>685</v>
      </c>
      <c r="U21" s="24">
        <v>40</v>
      </c>
      <c r="V21" s="2">
        <v>502</v>
      </c>
      <c r="W21" s="25">
        <f t="shared" si="6"/>
        <v>542</v>
      </c>
      <c r="X21" s="24">
        <v>0</v>
      </c>
      <c r="Y21" s="2">
        <v>0</v>
      </c>
      <c r="Z21" s="25">
        <f t="shared" si="7"/>
        <v>0</v>
      </c>
    </row>
    <row r="22" spans="2:26" x14ac:dyDescent="0.35">
      <c r="B22" s="48" t="s">
        <v>240</v>
      </c>
      <c r="C22" s="24">
        <v>326</v>
      </c>
      <c r="D22" s="2">
        <v>344</v>
      </c>
      <c r="E22" s="23">
        <f t="shared" si="0"/>
        <v>670</v>
      </c>
      <c r="F22" s="24">
        <v>522</v>
      </c>
      <c r="G22" s="2">
        <v>565</v>
      </c>
      <c r="H22" s="25">
        <f t="shared" si="1"/>
        <v>1087</v>
      </c>
      <c r="I22" s="24">
        <v>374</v>
      </c>
      <c r="J22" s="2">
        <v>726</v>
      </c>
      <c r="K22" s="25">
        <f t="shared" si="2"/>
        <v>1100</v>
      </c>
      <c r="L22" s="24">
        <v>976</v>
      </c>
      <c r="M22" s="2">
        <v>1342</v>
      </c>
      <c r="N22" s="25">
        <f t="shared" si="3"/>
        <v>2318</v>
      </c>
      <c r="O22" s="24">
        <v>839</v>
      </c>
      <c r="P22" s="2">
        <v>1167</v>
      </c>
      <c r="Q22" s="25">
        <f t="shared" si="4"/>
        <v>2006</v>
      </c>
      <c r="R22" s="24">
        <v>254</v>
      </c>
      <c r="S22" s="2">
        <v>282</v>
      </c>
      <c r="T22" s="25">
        <f t="shared" si="5"/>
        <v>536</v>
      </c>
      <c r="U22" s="24">
        <v>18</v>
      </c>
      <c r="V22" s="2">
        <v>24</v>
      </c>
      <c r="W22" s="25">
        <f t="shared" si="6"/>
        <v>42</v>
      </c>
      <c r="X22" s="24">
        <v>0</v>
      </c>
      <c r="Y22" s="2">
        <v>0</v>
      </c>
      <c r="Z22" s="25">
        <f t="shared" si="7"/>
        <v>0</v>
      </c>
    </row>
    <row r="23" spans="2:26" x14ac:dyDescent="0.35">
      <c r="B23" s="48" t="s">
        <v>40</v>
      </c>
      <c r="C23" s="24">
        <v>406</v>
      </c>
      <c r="D23" s="2">
        <v>421</v>
      </c>
      <c r="E23" s="23">
        <f t="shared" si="0"/>
        <v>827</v>
      </c>
      <c r="F23" s="24">
        <v>452</v>
      </c>
      <c r="G23" s="2">
        <v>632</v>
      </c>
      <c r="H23" s="25">
        <f t="shared" si="1"/>
        <v>1084</v>
      </c>
      <c r="I23" s="24">
        <v>364</v>
      </c>
      <c r="J23" s="2">
        <v>606</v>
      </c>
      <c r="K23" s="25">
        <f t="shared" si="2"/>
        <v>970</v>
      </c>
      <c r="L23" s="24">
        <v>939</v>
      </c>
      <c r="M23" s="2">
        <v>1327</v>
      </c>
      <c r="N23" s="25">
        <f t="shared" si="3"/>
        <v>2266</v>
      </c>
      <c r="O23" s="24">
        <v>1404</v>
      </c>
      <c r="P23" s="2">
        <v>1336</v>
      </c>
      <c r="Q23" s="25">
        <f t="shared" si="4"/>
        <v>2740</v>
      </c>
      <c r="R23" s="24">
        <v>198</v>
      </c>
      <c r="S23" s="2">
        <v>615</v>
      </c>
      <c r="T23" s="25">
        <f t="shared" si="5"/>
        <v>813</v>
      </c>
      <c r="U23" s="24">
        <v>18</v>
      </c>
      <c r="V23" s="2">
        <v>45</v>
      </c>
      <c r="W23" s="25">
        <f t="shared" si="6"/>
        <v>63</v>
      </c>
      <c r="X23" s="24">
        <v>1</v>
      </c>
      <c r="Y23" s="2">
        <v>0</v>
      </c>
      <c r="Z23" s="25">
        <f t="shared" si="7"/>
        <v>1</v>
      </c>
    </row>
    <row r="24" spans="2:26" x14ac:dyDescent="0.35">
      <c r="B24" s="48" t="s">
        <v>241</v>
      </c>
      <c r="C24" s="24">
        <v>58</v>
      </c>
      <c r="D24" s="2">
        <v>63</v>
      </c>
      <c r="E24" s="23">
        <f t="shared" si="0"/>
        <v>121</v>
      </c>
      <c r="F24" s="24">
        <v>97</v>
      </c>
      <c r="G24" s="2">
        <v>91</v>
      </c>
      <c r="H24" s="25">
        <f t="shared" si="1"/>
        <v>188</v>
      </c>
      <c r="I24" s="24">
        <v>47</v>
      </c>
      <c r="J24" s="2">
        <v>73</v>
      </c>
      <c r="K24" s="25">
        <f t="shared" si="2"/>
        <v>120</v>
      </c>
      <c r="L24" s="24">
        <v>154</v>
      </c>
      <c r="M24" s="2">
        <v>218</v>
      </c>
      <c r="N24" s="25">
        <f t="shared" si="3"/>
        <v>372</v>
      </c>
      <c r="O24" s="24">
        <v>150</v>
      </c>
      <c r="P24" s="2">
        <v>177</v>
      </c>
      <c r="Q24" s="25">
        <f t="shared" si="4"/>
        <v>327</v>
      </c>
      <c r="R24" s="24">
        <v>49</v>
      </c>
      <c r="S24" s="2">
        <v>55</v>
      </c>
      <c r="T24" s="25">
        <f t="shared" si="5"/>
        <v>104</v>
      </c>
      <c r="U24" s="24">
        <v>1</v>
      </c>
      <c r="V24" s="2">
        <v>1</v>
      </c>
      <c r="W24" s="25">
        <f t="shared" si="6"/>
        <v>2</v>
      </c>
      <c r="X24" s="24">
        <v>0</v>
      </c>
      <c r="Y24" s="2">
        <v>0</v>
      </c>
      <c r="Z24" s="25">
        <f t="shared" si="7"/>
        <v>0</v>
      </c>
    </row>
    <row r="25" spans="2:26" x14ac:dyDescent="0.35">
      <c r="B25" s="48" t="s">
        <v>41</v>
      </c>
      <c r="C25" s="24">
        <v>168</v>
      </c>
      <c r="D25" s="2">
        <v>204</v>
      </c>
      <c r="E25" s="23">
        <f t="shared" si="0"/>
        <v>372</v>
      </c>
      <c r="F25" s="24">
        <v>284</v>
      </c>
      <c r="G25" s="2">
        <v>268</v>
      </c>
      <c r="H25" s="25">
        <f t="shared" si="1"/>
        <v>552</v>
      </c>
      <c r="I25" s="24">
        <v>196</v>
      </c>
      <c r="J25" s="2">
        <v>306</v>
      </c>
      <c r="K25" s="25">
        <f t="shared" si="2"/>
        <v>502</v>
      </c>
      <c r="L25" s="24">
        <v>392</v>
      </c>
      <c r="M25" s="2">
        <v>524</v>
      </c>
      <c r="N25" s="25">
        <f t="shared" si="3"/>
        <v>916</v>
      </c>
      <c r="O25" s="24">
        <v>424</v>
      </c>
      <c r="P25" s="2">
        <v>680</v>
      </c>
      <c r="Q25" s="25">
        <f t="shared" si="4"/>
        <v>1104</v>
      </c>
      <c r="R25" s="24">
        <v>116</v>
      </c>
      <c r="S25" s="2">
        <v>146</v>
      </c>
      <c r="T25" s="25">
        <f t="shared" si="5"/>
        <v>262</v>
      </c>
      <c r="U25" s="24">
        <v>8</v>
      </c>
      <c r="V25" s="2">
        <v>4</v>
      </c>
      <c r="W25" s="25">
        <f t="shared" si="6"/>
        <v>12</v>
      </c>
      <c r="X25" s="24">
        <v>0</v>
      </c>
      <c r="Y25" s="2">
        <v>0</v>
      </c>
      <c r="Z25" s="25">
        <f t="shared" si="7"/>
        <v>0</v>
      </c>
    </row>
    <row r="26" spans="2:26" x14ac:dyDescent="0.35">
      <c r="B26" s="48" t="s">
        <v>42</v>
      </c>
      <c r="C26" s="24">
        <v>139</v>
      </c>
      <c r="D26" s="2">
        <v>164</v>
      </c>
      <c r="E26" s="23">
        <f t="shared" si="0"/>
        <v>303</v>
      </c>
      <c r="F26" s="24">
        <v>256</v>
      </c>
      <c r="G26" s="2">
        <v>230</v>
      </c>
      <c r="H26" s="25">
        <f t="shared" si="1"/>
        <v>486</v>
      </c>
      <c r="I26" s="24">
        <v>198</v>
      </c>
      <c r="J26" s="2">
        <v>333</v>
      </c>
      <c r="K26" s="25">
        <f t="shared" si="2"/>
        <v>531</v>
      </c>
      <c r="L26" s="24">
        <v>564</v>
      </c>
      <c r="M26" s="2">
        <v>579</v>
      </c>
      <c r="N26" s="25">
        <f t="shared" si="3"/>
        <v>1143</v>
      </c>
      <c r="O26" s="24">
        <v>471</v>
      </c>
      <c r="P26" s="2">
        <v>522</v>
      </c>
      <c r="Q26" s="25">
        <f t="shared" si="4"/>
        <v>993</v>
      </c>
      <c r="R26" s="24">
        <v>133</v>
      </c>
      <c r="S26" s="2">
        <v>176</v>
      </c>
      <c r="T26" s="25">
        <f t="shared" si="5"/>
        <v>309</v>
      </c>
      <c r="U26" s="24">
        <v>5</v>
      </c>
      <c r="V26" s="2">
        <v>12</v>
      </c>
      <c r="W26" s="25">
        <f t="shared" si="6"/>
        <v>17</v>
      </c>
      <c r="X26" s="24">
        <v>0</v>
      </c>
      <c r="Y26" s="2">
        <v>0</v>
      </c>
      <c r="Z26" s="25">
        <f t="shared" si="7"/>
        <v>0</v>
      </c>
    </row>
    <row r="27" spans="2:26" x14ac:dyDescent="0.35">
      <c r="B27" s="48" t="s">
        <v>43</v>
      </c>
      <c r="C27" s="24">
        <v>496</v>
      </c>
      <c r="D27" s="2">
        <v>379</v>
      </c>
      <c r="E27" s="23">
        <f t="shared" si="0"/>
        <v>875</v>
      </c>
      <c r="F27" s="24">
        <v>433</v>
      </c>
      <c r="G27" s="2">
        <v>655</v>
      </c>
      <c r="H27" s="25">
        <f t="shared" si="1"/>
        <v>1088</v>
      </c>
      <c r="I27" s="24">
        <v>502</v>
      </c>
      <c r="J27" s="2">
        <v>569</v>
      </c>
      <c r="K27" s="25">
        <f t="shared" si="2"/>
        <v>1071</v>
      </c>
      <c r="L27" s="24">
        <v>868</v>
      </c>
      <c r="M27" s="2">
        <v>1086</v>
      </c>
      <c r="N27" s="25">
        <f t="shared" si="3"/>
        <v>1954</v>
      </c>
      <c r="O27" s="24">
        <v>889</v>
      </c>
      <c r="P27" s="2">
        <v>1043</v>
      </c>
      <c r="Q27" s="25">
        <f t="shared" si="4"/>
        <v>1932</v>
      </c>
      <c r="R27" s="24">
        <v>241</v>
      </c>
      <c r="S27" s="2">
        <v>425</v>
      </c>
      <c r="T27" s="25">
        <f t="shared" si="5"/>
        <v>666</v>
      </c>
      <c r="U27" s="24">
        <v>43</v>
      </c>
      <c r="V27" s="2">
        <v>21</v>
      </c>
      <c r="W27" s="25">
        <f t="shared" si="6"/>
        <v>64</v>
      </c>
      <c r="X27" s="24">
        <v>1</v>
      </c>
      <c r="Y27" s="2">
        <v>2</v>
      </c>
      <c r="Z27" s="25">
        <f t="shared" si="7"/>
        <v>3</v>
      </c>
    </row>
    <row r="28" spans="2:26" x14ac:dyDescent="0.35">
      <c r="B28" s="48" t="s">
        <v>242</v>
      </c>
      <c r="C28" s="24">
        <v>434</v>
      </c>
      <c r="D28" s="2">
        <v>584</v>
      </c>
      <c r="E28" s="23">
        <f t="shared" si="0"/>
        <v>1018</v>
      </c>
      <c r="F28" s="24">
        <v>645</v>
      </c>
      <c r="G28" s="2">
        <v>880</v>
      </c>
      <c r="H28" s="25">
        <f t="shared" si="1"/>
        <v>1525</v>
      </c>
      <c r="I28" s="24">
        <v>472</v>
      </c>
      <c r="J28" s="2">
        <v>597</v>
      </c>
      <c r="K28" s="25">
        <f t="shared" si="2"/>
        <v>1069</v>
      </c>
      <c r="L28" s="24">
        <v>553</v>
      </c>
      <c r="M28" s="2">
        <v>975</v>
      </c>
      <c r="N28" s="25">
        <f t="shared" si="3"/>
        <v>1528</v>
      </c>
      <c r="O28" s="24">
        <v>899</v>
      </c>
      <c r="P28" s="2">
        <v>899</v>
      </c>
      <c r="Q28" s="25">
        <f t="shared" si="4"/>
        <v>1798</v>
      </c>
      <c r="R28" s="24">
        <v>382</v>
      </c>
      <c r="S28" s="2">
        <v>416</v>
      </c>
      <c r="T28" s="25">
        <f t="shared" si="5"/>
        <v>798</v>
      </c>
      <c r="U28" s="24">
        <v>21</v>
      </c>
      <c r="V28" s="2">
        <v>28</v>
      </c>
      <c r="W28" s="25">
        <f t="shared" si="6"/>
        <v>49</v>
      </c>
      <c r="X28" s="24">
        <v>0</v>
      </c>
      <c r="Y28" s="2">
        <v>0</v>
      </c>
      <c r="Z28" s="25">
        <f t="shared" si="7"/>
        <v>0</v>
      </c>
    </row>
    <row r="29" spans="2:26" x14ac:dyDescent="0.35">
      <c r="B29" s="48" t="s">
        <v>44</v>
      </c>
      <c r="C29" s="24">
        <v>55</v>
      </c>
      <c r="D29" s="2">
        <v>73</v>
      </c>
      <c r="E29" s="23">
        <f t="shared" si="0"/>
        <v>128</v>
      </c>
      <c r="F29" s="24">
        <v>161</v>
      </c>
      <c r="G29" s="2">
        <v>170</v>
      </c>
      <c r="H29" s="25">
        <f t="shared" si="1"/>
        <v>331</v>
      </c>
      <c r="I29" s="24">
        <v>123</v>
      </c>
      <c r="J29" s="2">
        <v>211</v>
      </c>
      <c r="K29" s="25">
        <f t="shared" si="2"/>
        <v>334</v>
      </c>
      <c r="L29" s="24">
        <v>254</v>
      </c>
      <c r="M29" s="2">
        <v>440</v>
      </c>
      <c r="N29" s="25">
        <f t="shared" si="3"/>
        <v>694</v>
      </c>
      <c r="O29" s="24">
        <v>249</v>
      </c>
      <c r="P29" s="2">
        <v>298</v>
      </c>
      <c r="Q29" s="25">
        <f t="shared" si="4"/>
        <v>547</v>
      </c>
      <c r="R29" s="24">
        <v>89</v>
      </c>
      <c r="S29" s="2">
        <v>104</v>
      </c>
      <c r="T29" s="25">
        <f t="shared" si="5"/>
        <v>193</v>
      </c>
      <c r="U29" s="24">
        <v>1</v>
      </c>
      <c r="V29" s="2">
        <v>12</v>
      </c>
      <c r="W29" s="25">
        <f t="shared" si="6"/>
        <v>13</v>
      </c>
      <c r="X29" s="24">
        <v>0</v>
      </c>
      <c r="Y29" s="2">
        <v>0</v>
      </c>
      <c r="Z29" s="25">
        <f t="shared" si="7"/>
        <v>0</v>
      </c>
    </row>
    <row r="30" spans="2:26" x14ac:dyDescent="0.35">
      <c r="B30" s="48" t="s">
        <v>243</v>
      </c>
      <c r="C30" s="24">
        <v>72</v>
      </c>
      <c r="D30" s="2">
        <v>69</v>
      </c>
      <c r="E30" s="23">
        <f t="shared" si="0"/>
        <v>141</v>
      </c>
      <c r="F30" s="24">
        <v>71</v>
      </c>
      <c r="G30" s="2">
        <v>85</v>
      </c>
      <c r="H30" s="25">
        <f t="shared" si="1"/>
        <v>156</v>
      </c>
      <c r="I30" s="24">
        <v>49</v>
      </c>
      <c r="J30" s="2">
        <v>96</v>
      </c>
      <c r="K30" s="25">
        <f t="shared" si="2"/>
        <v>145</v>
      </c>
      <c r="L30" s="24">
        <v>203</v>
      </c>
      <c r="M30" s="2">
        <v>236</v>
      </c>
      <c r="N30" s="25">
        <f t="shared" si="3"/>
        <v>439</v>
      </c>
      <c r="O30" s="24">
        <v>172</v>
      </c>
      <c r="P30" s="2">
        <v>213</v>
      </c>
      <c r="Q30" s="25">
        <f t="shared" si="4"/>
        <v>385</v>
      </c>
      <c r="R30" s="24">
        <v>55</v>
      </c>
      <c r="S30" s="2">
        <v>50</v>
      </c>
      <c r="T30" s="25">
        <f t="shared" si="5"/>
        <v>105</v>
      </c>
      <c r="U30" s="24">
        <v>4</v>
      </c>
      <c r="V30" s="2">
        <v>2</v>
      </c>
      <c r="W30" s="25">
        <f t="shared" si="6"/>
        <v>6</v>
      </c>
      <c r="X30" s="24">
        <v>0</v>
      </c>
      <c r="Y30" s="2">
        <v>0</v>
      </c>
      <c r="Z30" s="25">
        <f t="shared" si="7"/>
        <v>0</v>
      </c>
    </row>
    <row r="31" spans="2:26" x14ac:dyDescent="0.35">
      <c r="B31" s="48" t="s">
        <v>45</v>
      </c>
      <c r="C31" s="24">
        <v>90</v>
      </c>
      <c r="D31" s="2">
        <v>95</v>
      </c>
      <c r="E31" s="23">
        <f t="shared" si="0"/>
        <v>185</v>
      </c>
      <c r="F31" s="24">
        <v>89</v>
      </c>
      <c r="G31" s="2">
        <v>107</v>
      </c>
      <c r="H31" s="25">
        <f t="shared" si="1"/>
        <v>196</v>
      </c>
      <c r="I31" s="24">
        <v>59</v>
      </c>
      <c r="J31" s="2">
        <v>108</v>
      </c>
      <c r="K31" s="25">
        <f t="shared" si="2"/>
        <v>167</v>
      </c>
      <c r="L31" s="24">
        <v>152</v>
      </c>
      <c r="M31" s="2">
        <v>248</v>
      </c>
      <c r="N31" s="25">
        <f t="shared" si="3"/>
        <v>400</v>
      </c>
      <c r="O31" s="24">
        <v>152</v>
      </c>
      <c r="P31" s="2">
        <v>195</v>
      </c>
      <c r="Q31" s="25">
        <f t="shared" si="4"/>
        <v>347</v>
      </c>
      <c r="R31" s="24">
        <v>35</v>
      </c>
      <c r="S31" s="2">
        <v>81</v>
      </c>
      <c r="T31" s="25">
        <f t="shared" si="5"/>
        <v>116</v>
      </c>
      <c r="U31" s="24">
        <v>4</v>
      </c>
      <c r="V31" s="2">
        <v>3</v>
      </c>
      <c r="W31" s="25">
        <f t="shared" si="6"/>
        <v>7</v>
      </c>
      <c r="X31" s="24">
        <v>0</v>
      </c>
      <c r="Y31" s="2">
        <v>0</v>
      </c>
      <c r="Z31" s="25">
        <f t="shared" si="7"/>
        <v>0</v>
      </c>
    </row>
    <row r="32" spans="2:26" x14ac:dyDescent="0.35">
      <c r="B32" s="48" t="s">
        <v>46</v>
      </c>
      <c r="C32" s="24">
        <v>177</v>
      </c>
      <c r="D32" s="2">
        <v>181</v>
      </c>
      <c r="E32" s="23">
        <f t="shared" si="0"/>
        <v>358</v>
      </c>
      <c r="F32" s="24">
        <v>291</v>
      </c>
      <c r="G32" s="2">
        <v>291</v>
      </c>
      <c r="H32" s="25">
        <f t="shared" si="1"/>
        <v>582</v>
      </c>
      <c r="I32" s="24">
        <v>242</v>
      </c>
      <c r="J32" s="2">
        <v>317</v>
      </c>
      <c r="K32" s="25">
        <f t="shared" si="2"/>
        <v>559</v>
      </c>
      <c r="L32" s="24">
        <v>505</v>
      </c>
      <c r="M32" s="2">
        <v>625</v>
      </c>
      <c r="N32" s="25">
        <f t="shared" si="3"/>
        <v>1130</v>
      </c>
      <c r="O32" s="24">
        <v>493</v>
      </c>
      <c r="P32" s="2">
        <v>663</v>
      </c>
      <c r="Q32" s="25">
        <f t="shared" si="4"/>
        <v>1156</v>
      </c>
      <c r="R32" s="24">
        <v>161</v>
      </c>
      <c r="S32" s="2">
        <v>208</v>
      </c>
      <c r="T32" s="25">
        <f t="shared" si="5"/>
        <v>369</v>
      </c>
      <c r="U32" s="24">
        <v>11</v>
      </c>
      <c r="V32" s="2">
        <v>7</v>
      </c>
      <c r="W32" s="25">
        <f t="shared" si="6"/>
        <v>18</v>
      </c>
      <c r="X32" s="24">
        <v>0</v>
      </c>
      <c r="Y32" s="2">
        <v>0</v>
      </c>
      <c r="Z32" s="25">
        <f t="shared" si="7"/>
        <v>0</v>
      </c>
    </row>
    <row r="33" spans="2:26" x14ac:dyDescent="0.35">
      <c r="B33" s="48" t="s">
        <v>244</v>
      </c>
      <c r="C33" s="24">
        <v>84</v>
      </c>
      <c r="D33" s="2">
        <v>98</v>
      </c>
      <c r="E33" s="23">
        <f t="shared" si="0"/>
        <v>182</v>
      </c>
      <c r="F33" s="24">
        <v>136</v>
      </c>
      <c r="G33" s="2">
        <v>133</v>
      </c>
      <c r="H33" s="25">
        <f t="shared" si="1"/>
        <v>269</v>
      </c>
      <c r="I33" s="24">
        <v>91</v>
      </c>
      <c r="J33" s="2">
        <v>118</v>
      </c>
      <c r="K33" s="25">
        <f t="shared" si="2"/>
        <v>209</v>
      </c>
      <c r="L33" s="24">
        <v>219</v>
      </c>
      <c r="M33" s="2">
        <v>243</v>
      </c>
      <c r="N33" s="25">
        <f t="shared" si="3"/>
        <v>462</v>
      </c>
      <c r="O33" s="24">
        <v>189</v>
      </c>
      <c r="P33" s="2">
        <v>254</v>
      </c>
      <c r="Q33" s="25">
        <f t="shared" si="4"/>
        <v>443</v>
      </c>
      <c r="R33" s="24">
        <v>43</v>
      </c>
      <c r="S33" s="2">
        <v>45</v>
      </c>
      <c r="T33" s="25">
        <f t="shared" si="5"/>
        <v>88</v>
      </c>
      <c r="U33" s="24">
        <v>4</v>
      </c>
      <c r="V33" s="2">
        <v>6</v>
      </c>
      <c r="W33" s="25">
        <f t="shared" si="6"/>
        <v>10</v>
      </c>
      <c r="X33" s="24">
        <v>0</v>
      </c>
      <c r="Y33" s="2">
        <v>0</v>
      </c>
      <c r="Z33" s="25">
        <f t="shared" si="7"/>
        <v>0</v>
      </c>
    </row>
    <row r="34" spans="2:26" x14ac:dyDescent="0.35">
      <c r="B34" s="48" t="s">
        <v>47</v>
      </c>
      <c r="C34" s="24">
        <v>200</v>
      </c>
      <c r="D34" s="2">
        <v>250</v>
      </c>
      <c r="E34" s="23">
        <f t="shared" si="0"/>
        <v>450</v>
      </c>
      <c r="F34" s="24">
        <v>410</v>
      </c>
      <c r="G34" s="2">
        <v>586</v>
      </c>
      <c r="H34" s="25">
        <f t="shared" si="1"/>
        <v>996</v>
      </c>
      <c r="I34" s="24">
        <v>225</v>
      </c>
      <c r="J34" s="2">
        <v>418</v>
      </c>
      <c r="K34" s="25">
        <f t="shared" si="2"/>
        <v>643</v>
      </c>
      <c r="L34" s="24">
        <v>419</v>
      </c>
      <c r="M34" s="2">
        <v>785</v>
      </c>
      <c r="N34" s="25">
        <f t="shared" si="3"/>
        <v>1204</v>
      </c>
      <c r="O34" s="24">
        <v>312</v>
      </c>
      <c r="P34" s="2">
        <v>735</v>
      </c>
      <c r="Q34" s="25">
        <f t="shared" si="4"/>
        <v>1047</v>
      </c>
      <c r="R34" s="24">
        <v>121</v>
      </c>
      <c r="S34" s="2">
        <v>289</v>
      </c>
      <c r="T34" s="25">
        <f t="shared" si="5"/>
        <v>410</v>
      </c>
      <c r="U34" s="24">
        <v>7</v>
      </c>
      <c r="V34" s="2">
        <v>12</v>
      </c>
      <c r="W34" s="25">
        <f t="shared" si="6"/>
        <v>19</v>
      </c>
      <c r="X34" s="24">
        <v>0</v>
      </c>
      <c r="Y34" s="2">
        <v>0</v>
      </c>
      <c r="Z34" s="25">
        <f t="shared" si="7"/>
        <v>0</v>
      </c>
    </row>
    <row r="35" spans="2:26" x14ac:dyDescent="0.35">
      <c r="B35" s="48" t="s">
        <v>245</v>
      </c>
      <c r="C35" s="24">
        <v>147</v>
      </c>
      <c r="D35" s="2">
        <v>155</v>
      </c>
      <c r="E35" s="23">
        <f t="shared" si="0"/>
        <v>302</v>
      </c>
      <c r="F35" s="24">
        <v>116</v>
      </c>
      <c r="G35" s="2">
        <v>128</v>
      </c>
      <c r="H35" s="25">
        <f t="shared" si="1"/>
        <v>244</v>
      </c>
      <c r="I35" s="24">
        <v>282</v>
      </c>
      <c r="J35" s="2">
        <v>312</v>
      </c>
      <c r="K35" s="25">
        <f t="shared" si="2"/>
        <v>594</v>
      </c>
      <c r="L35" s="24">
        <v>300</v>
      </c>
      <c r="M35" s="2">
        <v>324</v>
      </c>
      <c r="N35" s="25">
        <f t="shared" si="3"/>
        <v>624</v>
      </c>
      <c r="O35" s="24">
        <v>405</v>
      </c>
      <c r="P35" s="2">
        <v>423</v>
      </c>
      <c r="Q35" s="25">
        <f t="shared" si="4"/>
        <v>828</v>
      </c>
      <c r="R35" s="24">
        <v>169</v>
      </c>
      <c r="S35" s="2">
        <v>181</v>
      </c>
      <c r="T35" s="25">
        <f t="shared" si="5"/>
        <v>350</v>
      </c>
      <c r="U35" s="24">
        <v>15</v>
      </c>
      <c r="V35" s="2">
        <v>18</v>
      </c>
      <c r="W35" s="25">
        <f t="shared" si="6"/>
        <v>33</v>
      </c>
      <c r="X35" s="24">
        <v>0</v>
      </c>
      <c r="Y35" s="2">
        <v>0</v>
      </c>
      <c r="Z35" s="25">
        <f t="shared" si="7"/>
        <v>0</v>
      </c>
    </row>
    <row r="36" spans="2:26" x14ac:dyDescent="0.35">
      <c r="B36" s="48" t="s">
        <v>48</v>
      </c>
      <c r="C36" s="24">
        <v>38</v>
      </c>
      <c r="D36" s="2">
        <v>32</v>
      </c>
      <c r="E36" s="23">
        <f t="shared" si="0"/>
        <v>70</v>
      </c>
      <c r="F36" s="24">
        <v>41</v>
      </c>
      <c r="G36" s="2">
        <v>44</v>
      </c>
      <c r="H36" s="25">
        <f>SUM(F36:G36)</f>
        <v>85</v>
      </c>
      <c r="I36" s="24">
        <v>13</v>
      </c>
      <c r="J36" s="2">
        <v>58</v>
      </c>
      <c r="K36" s="25">
        <f t="shared" si="2"/>
        <v>71</v>
      </c>
      <c r="L36" s="24">
        <v>43</v>
      </c>
      <c r="M36" s="2">
        <v>124</v>
      </c>
      <c r="N36" s="25">
        <f t="shared" si="3"/>
        <v>167</v>
      </c>
      <c r="O36" s="24">
        <v>61</v>
      </c>
      <c r="P36" s="2">
        <v>89</v>
      </c>
      <c r="Q36" s="25">
        <f t="shared" si="4"/>
        <v>150</v>
      </c>
      <c r="R36" s="24">
        <v>18</v>
      </c>
      <c r="S36" s="2">
        <v>19</v>
      </c>
      <c r="T36" s="25">
        <f t="shared" si="5"/>
        <v>37</v>
      </c>
      <c r="U36" s="24">
        <v>1</v>
      </c>
      <c r="V36" s="2">
        <v>2</v>
      </c>
      <c r="W36" s="25">
        <f t="shared" si="6"/>
        <v>3</v>
      </c>
      <c r="X36" s="24">
        <v>0</v>
      </c>
      <c r="Y36" s="2">
        <v>0</v>
      </c>
      <c r="Z36" s="25">
        <f t="shared" si="7"/>
        <v>0</v>
      </c>
    </row>
    <row r="37" spans="2:26" x14ac:dyDescent="0.35">
      <c r="B37" s="48" t="s">
        <v>246</v>
      </c>
      <c r="C37" s="24">
        <v>94</v>
      </c>
      <c r="D37" s="2">
        <v>130</v>
      </c>
      <c r="E37" s="23">
        <f t="shared" si="0"/>
        <v>224</v>
      </c>
      <c r="F37" s="24">
        <v>340</v>
      </c>
      <c r="G37" s="2">
        <v>516</v>
      </c>
      <c r="H37" s="25">
        <f t="shared" si="1"/>
        <v>856</v>
      </c>
      <c r="I37" s="24">
        <v>305</v>
      </c>
      <c r="J37" s="2">
        <v>130</v>
      </c>
      <c r="K37" s="25">
        <f t="shared" si="2"/>
        <v>435</v>
      </c>
      <c r="L37" s="24">
        <v>502</v>
      </c>
      <c r="M37" s="2">
        <v>470</v>
      </c>
      <c r="N37" s="25">
        <f t="shared" si="3"/>
        <v>972</v>
      </c>
      <c r="O37" s="24">
        <v>340</v>
      </c>
      <c r="P37" s="2">
        <v>513</v>
      </c>
      <c r="Q37" s="25">
        <f t="shared" si="4"/>
        <v>853</v>
      </c>
      <c r="R37" s="24">
        <v>210</v>
      </c>
      <c r="S37" s="2">
        <v>102</v>
      </c>
      <c r="T37" s="25">
        <f t="shared" si="5"/>
        <v>312</v>
      </c>
      <c r="U37" s="24">
        <v>11</v>
      </c>
      <c r="V37" s="2">
        <v>8</v>
      </c>
      <c r="W37" s="25">
        <f t="shared" si="6"/>
        <v>19</v>
      </c>
      <c r="X37" s="24">
        <v>0</v>
      </c>
      <c r="Y37" s="2">
        <v>0</v>
      </c>
      <c r="Z37" s="25">
        <f t="shared" si="7"/>
        <v>0</v>
      </c>
    </row>
    <row r="38" spans="2:26" ht="15" thickBot="1" x14ac:dyDescent="0.4">
      <c r="B38" s="49" t="s">
        <v>49</v>
      </c>
      <c r="C38" s="31">
        <v>81</v>
      </c>
      <c r="D38" s="32">
        <v>72</v>
      </c>
      <c r="E38" s="33">
        <f t="shared" si="0"/>
        <v>153</v>
      </c>
      <c r="F38" s="31">
        <v>87</v>
      </c>
      <c r="G38" s="32">
        <v>105</v>
      </c>
      <c r="H38" s="34">
        <f t="shared" si="1"/>
        <v>192</v>
      </c>
      <c r="I38" s="31">
        <v>20</v>
      </c>
      <c r="J38" s="32">
        <v>85</v>
      </c>
      <c r="K38" s="34">
        <f t="shared" si="2"/>
        <v>105</v>
      </c>
      <c r="L38" s="31">
        <v>68</v>
      </c>
      <c r="M38" s="32">
        <v>124</v>
      </c>
      <c r="N38" s="34">
        <f t="shared" si="3"/>
        <v>192</v>
      </c>
      <c r="O38" s="31">
        <v>143</v>
      </c>
      <c r="P38" s="32">
        <v>167</v>
      </c>
      <c r="Q38" s="34">
        <f t="shared" si="4"/>
        <v>310</v>
      </c>
      <c r="R38" s="31">
        <v>32</v>
      </c>
      <c r="S38" s="32">
        <v>25</v>
      </c>
      <c r="T38" s="34">
        <f t="shared" si="5"/>
        <v>57</v>
      </c>
      <c r="U38" s="31">
        <v>2</v>
      </c>
      <c r="V38" s="32">
        <v>2</v>
      </c>
      <c r="W38" s="34">
        <f t="shared" si="6"/>
        <v>4</v>
      </c>
      <c r="X38" s="31">
        <v>0</v>
      </c>
      <c r="Y38" s="32">
        <v>1</v>
      </c>
      <c r="Z38" s="34">
        <f t="shared" si="7"/>
        <v>1</v>
      </c>
    </row>
    <row r="39" spans="2:26" ht="15" thickBot="1" x14ac:dyDescent="0.4">
      <c r="B39" s="50" t="s">
        <v>51</v>
      </c>
      <c r="C39" s="12">
        <f>SUM(C6:C38)</f>
        <v>6398</v>
      </c>
      <c r="D39" s="13">
        <f t="shared" ref="D39:Z39" si="8">SUM(D6:D38)</f>
        <v>7179</v>
      </c>
      <c r="E39" s="15">
        <f t="shared" si="8"/>
        <v>13577</v>
      </c>
      <c r="F39" s="12">
        <f t="shared" si="8"/>
        <v>9536</v>
      </c>
      <c r="G39" s="13">
        <f t="shared" si="8"/>
        <v>11122</v>
      </c>
      <c r="H39" s="14">
        <f t="shared" si="8"/>
        <v>20658</v>
      </c>
      <c r="I39" s="12">
        <f t="shared" si="8"/>
        <v>7022</v>
      </c>
      <c r="J39" s="13">
        <f t="shared" si="8"/>
        <v>9997</v>
      </c>
      <c r="K39" s="14">
        <f t="shared" si="8"/>
        <v>17019</v>
      </c>
      <c r="L39" s="12">
        <f t="shared" si="8"/>
        <v>15670</v>
      </c>
      <c r="M39" s="13">
        <f t="shared" si="8"/>
        <v>18910</v>
      </c>
      <c r="N39" s="14">
        <f t="shared" si="8"/>
        <v>34580</v>
      </c>
      <c r="O39" s="12">
        <f t="shared" si="8"/>
        <v>15390</v>
      </c>
      <c r="P39" s="13">
        <f t="shared" si="8"/>
        <v>19082</v>
      </c>
      <c r="Q39" s="14">
        <f t="shared" si="8"/>
        <v>34472</v>
      </c>
      <c r="R39" s="12">
        <f t="shared" si="8"/>
        <v>5330</v>
      </c>
      <c r="S39" s="13">
        <f t="shared" si="8"/>
        <v>6337</v>
      </c>
      <c r="T39" s="14">
        <f t="shared" si="8"/>
        <v>11667</v>
      </c>
      <c r="U39" s="12">
        <f t="shared" si="8"/>
        <v>488</v>
      </c>
      <c r="V39" s="13">
        <f t="shared" si="8"/>
        <v>1098</v>
      </c>
      <c r="W39" s="14">
        <f t="shared" si="8"/>
        <v>1586</v>
      </c>
      <c r="X39" s="12">
        <f t="shared" si="8"/>
        <v>3</v>
      </c>
      <c r="Y39" s="13">
        <f t="shared" si="8"/>
        <v>15</v>
      </c>
      <c r="Z39" s="14">
        <f t="shared" si="8"/>
        <v>18</v>
      </c>
    </row>
  </sheetData>
  <mergeCells count="8">
    <mergeCell ref="U4:W4"/>
    <mergeCell ref="X4:Z4"/>
    <mergeCell ref="C4:E4"/>
    <mergeCell ref="F4:H4"/>
    <mergeCell ref="I4:K4"/>
    <mergeCell ref="L4:N4"/>
    <mergeCell ref="O4:Q4"/>
    <mergeCell ref="R4:T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321B6-BEAE-40E3-B3CD-4D8C0AC67F04}">
  <dimension ref="B2:O20"/>
  <sheetViews>
    <sheetView workbookViewId="0">
      <selection activeCell="J13" sqref="J13"/>
    </sheetView>
  </sheetViews>
  <sheetFormatPr defaultRowHeight="14.5" x14ac:dyDescent="0.35"/>
  <cols>
    <col min="1" max="1" width="8.7265625" style="7"/>
    <col min="2" max="2" width="28.81640625" style="7" customWidth="1"/>
    <col min="3" max="3" width="11" style="7" bestFit="1" customWidth="1"/>
    <col min="4" max="5" width="8.7265625" style="7"/>
    <col min="6" max="6" width="14.453125" style="7" bestFit="1" customWidth="1"/>
    <col min="7" max="7" width="11" style="7" bestFit="1" customWidth="1"/>
    <col min="8" max="9" width="8.7265625" style="7"/>
    <col min="10" max="10" width="21.54296875" style="7" bestFit="1" customWidth="1"/>
    <col min="11" max="11" width="11" style="7" bestFit="1" customWidth="1"/>
    <col min="12" max="13" width="8.7265625" style="7"/>
    <col min="14" max="14" width="14.1796875" style="7" bestFit="1" customWidth="1"/>
    <col min="15" max="15" width="11" style="7" bestFit="1" customWidth="1"/>
    <col min="16" max="16384" width="8.7265625" style="7"/>
  </cols>
  <sheetData>
    <row r="2" spans="2:15" x14ac:dyDescent="0.35">
      <c r="B2" s="17" t="s">
        <v>53</v>
      </c>
    </row>
    <row r="5" spans="2:15" x14ac:dyDescent="0.35">
      <c r="B5" s="1" t="s">
        <v>54</v>
      </c>
      <c r="F5" s="16" t="s">
        <v>63</v>
      </c>
      <c r="G5" s="16"/>
      <c r="J5" s="1" t="s">
        <v>69</v>
      </c>
      <c r="N5" s="1" t="s">
        <v>74</v>
      </c>
    </row>
    <row r="6" spans="2:15" x14ac:dyDescent="0.35">
      <c r="B6" s="18" t="s">
        <v>50</v>
      </c>
      <c r="C6" s="18" t="s">
        <v>55</v>
      </c>
      <c r="F6" s="18" t="s">
        <v>50</v>
      </c>
      <c r="G6" s="18" t="s">
        <v>55</v>
      </c>
      <c r="J6" s="19" t="s">
        <v>50</v>
      </c>
      <c r="K6" s="19" t="s">
        <v>55</v>
      </c>
      <c r="N6" s="18" t="s">
        <v>50</v>
      </c>
      <c r="O6" s="18" t="s">
        <v>55</v>
      </c>
    </row>
    <row r="7" spans="2:15" x14ac:dyDescent="0.35">
      <c r="B7" s="9" t="s">
        <v>33</v>
      </c>
      <c r="C7" s="9">
        <v>6366</v>
      </c>
      <c r="F7" s="9" t="s">
        <v>64</v>
      </c>
      <c r="G7" s="9">
        <v>1730</v>
      </c>
      <c r="J7" s="9" t="s">
        <v>38</v>
      </c>
      <c r="K7" s="9">
        <v>5061</v>
      </c>
      <c r="N7" s="9" t="s">
        <v>34</v>
      </c>
      <c r="O7" s="9">
        <v>8021</v>
      </c>
    </row>
    <row r="8" spans="2:15" x14ac:dyDescent="0.35">
      <c r="B8" s="9" t="s">
        <v>56</v>
      </c>
      <c r="C8" s="9">
        <v>7103</v>
      </c>
      <c r="F8" s="9" t="s">
        <v>65</v>
      </c>
      <c r="G8" s="9">
        <v>4695</v>
      </c>
      <c r="J8" s="9" t="s">
        <v>70</v>
      </c>
      <c r="K8" s="9">
        <v>8002</v>
      </c>
      <c r="N8" s="9" t="s">
        <v>39</v>
      </c>
      <c r="O8" s="9">
        <v>8193</v>
      </c>
    </row>
    <row r="9" spans="2:15" x14ac:dyDescent="0.35">
      <c r="B9" s="9" t="s">
        <v>57</v>
      </c>
      <c r="C9" s="9">
        <v>2293</v>
      </c>
      <c r="F9" s="9" t="s">
        <v>35</v>
      </c>
      <c r="G9" s="9">
        <v>3940</v>
      </c>
      <c r="J9" s="9" t="s">
        <v>71</v>
      </c>
      <c r="K9" s="9">
        <v>7759</v>
      </c>
      <c r="N9" s="9" t="s">
        <v>40</v>
      </c>
      <c r="O9" s="9">
        <v>8764</v>
      </c>
    </row>
    <row r="10" spans="2:15" x14ac:dyDescent="0.35">
      <c r="B10" s="9" t="s">
        <v>58</v>
      </c>
      <c r="C10" s="9">
        <v>3298</v>
      </c>
      <c r="F10" s="9" t="s">
        <v>36</v>
      </c>
      <c r="G10" s="9">
        <v>1736</v>
      </c>
      <c r="J10" s="9" t="s">
        <v>42</v>
      </c>
      <c r="K10" s="9">
        <v>3782</v>
      </c>
      <c r="N10" s="9" t="s">
        <v>41</v>
      </c>
      <c r="O10" s="9">
        <v>3720</v>
      </c>
    </row>
    <row r="11" spans="2:15" x14ac:dyDescent="0.35">
      <c r="B11" s="9" t="s">
        <v>37</v>
      </c>
      <c r="C11" s="9">
        <v>1815</v>
      </c>
      <c r="F11" s="9" t="s">
        <v>66</v>
      </c>
      <c r="G11" s="9">
        <v>2327</v>
      </c>
      <c r="J11" s="9" t="s">
        <v>46</v>
      </c>
      <c r="K11" s="9">
        <v>4172</v>
      </c>
      <c r="N11" s="9" t="s">
        <v>47</v>
      </c>
      <c r="O11" s="9">
        <v>4769</v>
      </c>
    </row>
    <row r="12" spans="2:15" x14ac:dyDescent="0.35">
      <c r="B12" s="9" t="s">
        <v>59</v>
      </c>
      <c r="C12" s="9">
        <v>1537</v>
      </c>
      <c r="F12" s="9" t="s">
        <v>67</v>
      </c>
      <c r="G12" s="9">
        <v>2981</v>
      </c>
      <c r="J12" s="9" t="s">
        <v>72</v>
      </c>
      <c r="K12" s="9">
        <v>2975</v>
      </c>
      <c r="N12" s="18" t="s">
        <v>7</v>
      </c>
      <c r="O12" s="18">
        <f>SUM(O7:O11)</f>
        <v>33467</v>
      </c>
    </row>
    <row r="13" spans="2:15" x14ac:dyDescent="0.35">
      <c r="B13" s="9" t="s">
        <v>60</v>
      </c>
      <c r="C13" s="9">
        <v>1234</v>
      </c>
      <c r="F13" s="9" t="s">
        <v>68</v>
      </c>
      <c r="G13" s="9">
        <v>7785</v>
      </c>
      <c r="J13" s="9" t="s">
        <v>73</v>
      </c>
      <c r="K13" s="9">
        <v>3671</v>
      </c>
    </row>
    <row r="14" spans="2:15" x14ac:dyDescent="0.35">
      <c r="B14" s="9" t="s">
        <v>43</v>
      </c>
      <c r="C14" s="9">
        <v>7653</v>
      </c>
      <c r="F14" s="9" t="s">
        <v>44</v>
      </c>
      <c r="G14" s="9">
        <v>2240</v>
      </c>
      <c r="J14" s="18" t="s">
        <v>7</v>
      </c>
      <c r="K14" s="18">
        <f>SUM(K7:K13)</f>
        <v>35422</v>
      </c>
    </row>
    <row r="15" spans="2:15" x14ac:dyDescent="0.35">
      <c r="B15" s="9" t="s">
        <v>61</v>
      </c>
      <c r="C15" s="9">
        <v>1377</v>
      </c>
      <c r="F15" s="18" t="s">
        <v>7</v>
      </c>
      <c r="G15" s="18">
        <f>SUM(G7:G14)</f>
        <v>27434</v>
      </c>
      <c r="J15"/>
    </row>
    <row r="16" spans="2:15" x14ac:dyDescent="0.35">
      <c r="B16" s="9" t="s">
        <v>45</v>
      </c>
      <c r="C16" s="9">
        <v>1418</v>
      </c>
    </row>
    <row r="17" spans="2:3" x14ac:dyDescent="0.35">
      <c r="B17" s="9" t="s">
        <v>62</v>
      </c>
      <c r="C17" s="9">
        <v>1663</v>
      </c>
    </row>
    <row r="18" spans="2:3" x14ac:dyDescent="0.35">
      <c r="B18" s="9" t="s">
        <v>48</v>
      </c>
      <c r="C18" s="9">
        <v>583</v>
      </c>
    </row>
    <row r="19" spans="2:3" x14ac:dyDescent="0.35">
      <c r="B19" s="9" t="s">
        <v>49</v>
      </c>
      <c r="C19" s="9">
        <v>1014</v>
      </c>
    </row>
    <row r="20" spans="2:3" x14ac:dyDescent="0.35">
      <c r="B20" s="18" t="s">
        <v>7</v>
      </c>
      <c r="C20" s="18">
        <f>SUM(C7:C19)</f>
        <v>37354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A1AE-6218-40E7-9BCA-8B517C24850F}">
  <dimension ref="B2:N14"/>
  <sheetViews>
    <sheetView workbookViewId="0">
      <selection activeCell="B2" sqref="B2"/>
    </sheetView>
  </sheetViews>
  <sheetFormatPr defaultRowHeight="14.5" x14ac:dyDescent="0.35"/>
  <cols>
    <col min="1" max="1" width="8.7265625" style="7"/>
    <col min="2" max="2" width="20" style="7" bestFit="1" customWidth="1"/>
    <col min="3" max="6" width="9.7265625" style="7" customWidth="1"/>
    <col min="7" max="16384" width="8.7265625" style="7"/>
  </cols>
  <sheetData>
    <row r="2" spans="2:14" x14ac:dyDescent="0.35">
      <c r="B2" s="17" t="s">
        <v>94</v>
      </c>
    </row>
    <row r="4" spans="2:14" x14ac:dyDescent="0.35">
      <c r="B4"/>
      <c r="C4" s="72" t="s">
        <v>76</v>
      </c>
      <c r="D4" s="73"/>
      <c r="E4" s="72" t="s">
        <v>93</v>
      </c>
      <c r="F4" s="73"/>
    </row>
    <row r="5" spans="2:14" x14ac:dyDescent="0.35">
      <c r="B5" s="19" t="s">
        <v>84</v>
      </c>
      <c r="C5" s="45" t="s">
        <v>85</v>
      </c>
      <c r="D5" s="19" t="s">
        <v>19</v>
      </c>
      <c r="E5" s="19" t="s">
        <v>18</v>
      </c>
      <c r="F5" s="19" t="s">
        <v>19</v>
      </c>
    </row>
    <row r="6" spans="2:14" x14ac:dyDescent="0.35">
      <c r="B6" s="2" t="s">
        <v>86</v>
      </c>
      <c r="C6" s="2">
        <v>4</v>
      </c>
      <c r="D6" s="2">
        <v>0</v>
      </c>
      <c r="E6" s="2">
        <v>4</v>
      </c>
      <c r="F6" s="2">
        <v>0</v>
      </c>
    </row>
    <row r="7" spans="2:14" x14ac:dyDescent="0.35">
      <c r="B7" s="2" t="s">
        <v>87</v>
      </c>
      <c r="C7" s="2">
        <v>697</v>
      </c>
      <c r="D7" s="2">
        <v>3</v>
      </c>
      <c r="E7" s="2">
        <v>304</v>
      </c>
      <c r="F7" s="2">
        <v>22</v>
      </c>
    </row>
    <row r="8" spans="2:14" x14ac:dyDescent="0.35">
      <c r="B8" s="2" t="s">
        <v>88</v>
      </c>
      <c r="C8" s="2">
        <v>320</v>
      </c>
      <c r="D8" s="2">
        <v>5</v>
      </c>
      <c r="E8" s="2">
        <v>87</v>
      </c>
      <c r="F8" s="2">
        <v>0</v>
      </c>
    </row>
    <row r="9" spans="2:14" x14ac:dyDescent="0.35">
      <c r="B9" s="2" t="s">
        <v>89</v>
      </c>
      <c r="C9" s="2">
        <v>413</v>
      </c>
      <c r="D9" s="2">
        <v>23</v>
      </c>
      <c r="E9" s="2">
        <v>34</v>
      </c>
      <c r="F9" s="2">
        <v>1</v>
      </c>
    </row>
    <row r="10" spans="2:14" x14ac:dyDescent="0.35">
      <c r="B10" s="2" t="s">
        <v>90</v>
      </c>
      <c r="C10" s="2">
        <v>45</v>
      </c>
      <c r="D10" s="2">
        <v>0</v>
      </c>
      <c r="E10" s="2">
        <v>29</v>
      </c>
      <c r="F10" s="2">
        <v>0</v>
      </c>
    </row>
    <row r="11" spans="2:14" x14ac:dyDescent="0.35">
      <c r="B11" s="2" t="s">
        <v>91</v>
      </c>
      <c r="C11" s="2">
        <v>42</v>
      </c>
      <c r="D11" s="2">
        <v>0</v>
      </c>
      <c r="E11" s="2">
        <v>41</v>
      </c>
      <c r="F11" s="2">
        <v>0</v>
      </c>
    </row>
    <row r="12" spans="2:14" x14ac:dyDescent="0.35">
      <c r="B12" s="2" t="s">
        <v>92</v>
      </c>
      <c r="C12" s="2">
        <v>107</v>
      </c>
      <c r="D12" s="2">
        <v>104</v>
      </c>
      <c r="E12" s="2">
        <v>577</v>
      </c>
      <c r="F12" s="2">
        <v>203</v>
      </c>
    </row>
    <row r="13" spans="2:14" x14ac:dyDescent="0.35">
      <c r="B13" s="2" t="s">
        <v>100</v>
      </c>
      <c r="C13" s="2">
        <v>215</v>
      </c>
      <c r="D13" s="2">
        <v>14</v>
      </c>
      <c r="E13" s="2">
        <v>425</v>
      </c>
      <c r="F13" s="2">
        <v>38</v>
      </c>
    </row>
    <row r="14" spans="2:14" x14ac:dyDescent="0.35">
      <c r="B14" s="2" t="s">
        <v>101</v>
      </c>
      <c r="C14" s="2">
        <v>218</v>
      </c>
      <c r="D14" s="2">
        <v>1256</v>
      </c>
      <c r="E14" s="2">
        <v>43</v>
      </c>
      <c r="F14" s="2">
        <v>124</v>
      </c>
      <c r="N14"/>
    </row>
  </sheetData>
  <mergeCells count="2">
    <mergeCell ref="C4:D4"/>
    <mergeCell ref="E4:F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FD66-FA25-4EB2-B58D-DE589C274101}">
  <dimension ref="B2:O106"/>
  <sheetViews>
    <sheetView workbookViewId="0">
      <selection activeCell="B2" sqref="B2:O3"/>
    </sheetView>
  </sheetViews>
  <sheetFormatPr defaultRowHeight="14.5" x14ac:dyDescent="0.35"/>
  <cols>
    <col min="1" max="1" width="8.7265625" style="7"/>
    <col min="2" max="2" width="29.54296875" style="7" bestFit="1" customWidth="1"/>
    <col min="3" max="3" width="18.54296875" style="7" bestFit="1" customWidth="1"/>
    <col min="4" max="16384" width="8.7265625" style="7"/>
  </cols>
  <sheetData>
    <row r="2" spans="2:15" x14ac:dyDescent="0.35">
      <c r="B2" s="74" t="s">
        <v>188</v>
      </c>
      <c r="C2" s="74"/>
      <c r="D2" s="74"/>
      <c r="E2" s="74"/>
      <c r="F2" s="74"/>
      <c r="G2" s="74"/>
      <c r="H2" s="74"/>
      <c r="I2" s="74"/>
      <c r="J2" s="74"/>
      <c r="K2" s="74"/>
      <c r="L2" s="74"/>
      <c r="M2" s="74"/>
      <c r="N2" s="74"/>
      <c r="O2" s="74"/>
    </row>
    <row r="3" spans="2:15" x14ac:dyDescent="0.35">
      <c r="B3" s="74"/>
      <c r="C3" s="74"/>
      <c r="D3" s="74"/>
      <c r="E3" s="74"/>
      <c r="F3" s="74"/>
      <c r="G3" s="74"/>
      <c r="H3" s="74"/>
      <c r="I3" s="74"/>
      <c r="J3" s="74"/>
      <c r="K3" s="74"/>
      <c r="L3" s="74"/>
      <c r="M3" s="74"/>
      <c r="N3" s="74"/>
      <c r="O3" s="74"/>
    </row>
    <row r="5" spans="2:15" x14ac:dyDescent="0.35">
      <c r="B5" s="18" t="s">
        <v>185</v>
      </c>
      <c r="C5" s="18" t="s">
        <v>186</v>
      </c>
    </row>
    <row r="6" spans="2:15" x14ac:dyDescent="0.35">
      <c r="B6" s="9" t="s">
        <v>103</v>
      </c>
      <c r="C6" s="9">
        <v>107</v>
      </c>
    </row>
    <row r="7" spans="2:15" x14ac:dyDescent="0.35">
      <c r="B7" s="9" t="s">
        <v>104</v>
      </c>
      <c r="C7" s="9">
        <v>82</v>
      </c>
    </row>
    <row r="8" spans="2:15" x14ac:dyDescent="0.35">
      <c r="B8" s="9" t="s">
        <v>105</v>
      </c>
      <c r="C8" s="9">
        <v>80</v>
      </c>
    </row>
    <row r="9" spans="2:15" x14ac:dyDescent="0.35">
      <c r="B9" s="9" t="s">
        <v>106</v>
      </c>
      <c r="C9" s="9">
        <v>72</v>
      </c>
    </row>
    <row r="10" spans="2:15" x14ac:dyDescent="0.35">
      <c r="B10" s="9" t="s">
        <v>107</v>
      </c>
      <c r="C10" s="9">
        <v>72</v>
      </c>
    </row>
    <row r="11" spans="2:15" x14ac:dyDescent="0.35">
      <c r="B11" s="9" t="s">
        <v>108</v>
      </c>
      <c r="C11" s="9">
        <v>65</v>
      </c>
    </row>
    <row r="12" spans="2:15" x14ac:dyDescent="0.35">
      <c r="B12" s="9" t="s">
        <v>187</v>
      </c>
      <c r="C12" s="9">
        <v>62</v>
      </c>
    </row>
    <row r="13" spans="2:15" x14ac:dyDescent="0.35">
      <c r="B13" s="9" t="s">
        <v>109</v>
      </c>
      <c r="C13" s="9">
        <v>58</v>
      </c>
    </row>
    <row r="14" spans="2:15" x14ac:dyDescent="0.35">
      <c r="B14" s="9" t="s">
        <v>110</v>
      </c>
      <c r="C14" s="9">
        <v>54</v>
      </c>
    </row>
    <row r="15" spans="2:15" x14ac:dyDescent="0.35">
      <c r="B15" s="9" t="s">
        <v>111</v>
      </c>
      <c r="C15" s="9">
        <v>53</v>
      </c>
    </row>
    <row r="16" spans="2:15" x14ac:dyDescent="0.35">
      <c r="B16" s="9" t="s">
        <v>192</v>
      </c>
      <c r="C16" s="9">
        <v>52</v>
      </c>
    </row>
    <row r="17" spans="2:3" x14ac:dyDescent="0.35">
      <c r="B17" s="9" t="s">
        <v>112</v>
      </c>
      <c r="C17" s="9">
        <v>46</v>
      </c>
    </row>
    <row r="18" spans="2:3" x14ac:dyDescent="0.35">
      <c r="B18" s="9" t="s">
        <v>113</v>
      </c>
      <c r="C18" s="9">
        <v>45</v>
      </c>
    </row>
    <row r="19" spans="2:3" x14ac:dyDescent="0.35">
      <c r="B19" s="9" t="s">
        <v>115</v>
      </c>
      <c r="C19" s="9">
        <v>44</v>
      </c>
    </row>
    <row r="20" spans="2:3" x14ac:dyDescent="0.35">
      <c r="B20" s="9" t="s">
        <v>114</v>
      </c>
      <c r="C20" s="9">
        <v>44</v>
      </c>
    </row>
    <row r="21" spans="2:3" x14ac:dyDescent="0.35">
      <c r="B21" s="9" t="s">
        <v>116</v>
      </c>
      <c r="C21" s="9">
        <v>37</v>
      </c>
    </row>
    <row r="22" spans="2:3" x14ac:dyDescent="0.35">
      <c r="B22" s="9" t="s">
        <v>118</v>
      </c>
      <c r="C22" s="9">
        <v>35</v>
      </c>
    </row>
    <row r="23" spans="2:3" x14ac:dyDescent="0.35">
      <c r="B23" s="9" t="s">
        <v>117</v>
      </c>
      <c r="C23" s="9">
        <v>35</v>
      </c>
    </row>
    <row r="24" spans="2:3" x14ac:dyDescent="0.35">
      <c r="B24" s="9" t="s">
        <v>119</v>
      </c>
      <c r="C24" s="9">
        <v>34</v>
      </c>
    </row>
    <row r="25" spans="2:3" x14ac:dyDescent="0.35">
      <c r="B25" s="9" t="s">
        <v>121</v>
      </c>
      <c r="C25" s="9">
        <v>32</v>
      </c>
    </row>
    <row r="26" spans="2:3" x14ac:dyDescent="0.35">
      <c r="B26" s="9" t="s">
        <v>120</v>
      </c>
      <c r="C26" s="9">
        <v>32</v>
      </c>
    </row>
    <row r="27" spans="2:3" x14ac:dyDescent="0.35">
      <c r="B27" s="9" t="s">
        <v>122</v>
      </c>
      <c r="C27" s="9">
        <v>31</v>
      </c>
    </row>
    <row r="28" spans="2:3" x14ac:dyDescent="0.35">
      <c r="B28" s="9" t="s">
        <v>123</v>
      </c>
      <c r="C28" s="9">
        <v>30</v>
      </c>
    </row>
    <row r="29" spans="2:3" x14ac:dyDescent="0.35">
      <c r="B29" s="9" t="s">
        <v>124</v>
      </c>
      <c r="C29" s="9">
        <v>29</v>
      </c>
    </row>
    <row r="30" spans="2:3" x14ac:dyDescent="0.35">
      <c r="B30" s="9" t="s">
        <v>204</v>
      </c>
      <c r="C30" s="9">
        <v>29</v>
      </c>
    </row>
    <row r="31" spans="2:3" x14ac:dyDescent="0.35">
      <c r="B31" s="9" t="s">
        <v>125</v>
      </c>
      <c r="C31" s="9">
        <v>27</v>
      </c>
    </row>
    <row r="32" spans="2:3" x14ac:dyDescent="0.35">
      <c r="B32" s="9" t="s">
        <v>200</v>
      </c>
      <c r="C32" s="9">
        <v>27</v>
      </c>
    </row>
    <row r="33" spans="2:3" x14ac:dyDescent="0.35">
      <c r="B33" s="9" t="s">
        <v>127</v>
      </c>
      <c r="C33" s="9">
        <v>26</v>
      </c>
    </row>
    <row r="34" spans="2:3" x14ac:dyDescent="0.35">
      <c r="B34" s="9" t="s">
        <v>126</v>
      </c>
      <c r="C34" s="9">
        <v>26</v>
      </c>
    </row>
    <row r="35" spans="2:3" x14ac:dyDescent="0.35">
      <c r="B35" s="9" t="s">
        <v>128</v>
      </c>
      <c r="C35" s="9">
        <v>26</v>
      </c>
    </row>
    <row r="36" spans="2:3" x14ac:dyDescent="0.35">
      <c r="B36" s="9" t="s">
        <v>129</v>
      </c>
      <c r="C36" s="9">
        <v>23</v>
      </c>
    </row>
    <row r="37" spans="2:3" x14ac:dyDescent="0.35">
      <c r="B37" s="9" t="s">
        <v>131</v>
      </c>
      <c r="C37" s="9">
        <v>23</v>
      </c>
    </row>
    <row r="38" spans="2:3" x14ac:dyDescent="0.35">
      <c r="B38" s="9" t="s">
        <v>132</v>
      </c>
      <c r="C38" s="9">
        <v>23</v>
      </c>
    </row>
    <row r="39" spans="2:3" x14ac:dyDescent="0.35">
      <c r="B39" s="9" t="s">
        <v>130</v>
      </c>
      <c r="C39" s="9">
        <v>23</v>
      </c>
    </row>
    <row r="40" spans="2:3" x14ac:dyDescent="0.35">
      <c r="B40" s="9" t="s">
        <v>189</v>
      </c>
      <c r="C40" s="9">
        <v>22</v>
      </c>
    </row>
    <row r="41" spans="2:3" x14ac:dyDescent="0.35">
      <c r="B41" s="9" t="s">
        <v>133</v>
      </c>
      <c r="C41" s="9">
        <v>22</v>
      </c>
    </row>
    <row r="42" spans="2:3" x14ac:dyDescent="0.35">
      <c r="B42" s="9" t="s">
        <v>195</v>
      </c>
      <c r="C42" s="9">
        <v>22</v>
      </c>
    </row>
    <row r="43" spans="2:3" x14ac:dyDescent="0.35">
      <c r="B43" s="9" t="s">
        <v>134</v>
      </c>
      <c r="C43" s="9">
        <v>21</v>
      </c>
    </row>
    <row r="44" spans="2:3" x14ac:dyDescent="0.35">
      <c r="B44" s="9" t="s">
        <v>197</v>
      </c>
      <c r="C44" s="9">
        <v>19</v>
      </c>
    </row>
    <row r="45" spans="2:3" x14ac:dyDescent="0.35">
      <c r="B45" s="9" t="s">
        <v>137</v>
      </c>
      <c r="C45" s="9">
        <v>18</v>
      </c>
    </row>
    <row r="46" spans="2:3" x14ac:dyDescent="0.35">
      <c r="B46" s="9" t="s">
        <v>135</v>
      </c>
      <c r="C46" s="9">
        <v>18</v>
      </c>
    </row>
    <row r="47" spans="2:3" x14ac:dyDescent="0.35">
      <c r="B47" s="9" t="s">
        <v>139</v>
      </c>
      <c r="C47" s="9">
        <v>18</v>
      </c>
    </row>
    <row r="48" spans="2:3" x14ac:dyDescent="0.35">
      <c r="B48" s="9" t="s">
        <v>138</v>
      </c>
      <c r="C48" s="9">
        <v>18</v>
      </c>
    </row>
    <row r="49" spans="2:3" x14ac:dyDescent="0.35">
      <c r="B49" s="9" t="s">
        <v>141</v>
      </c>
      <c r="C49" s="9">
        <v>18</v>
      </c>
    </row>
    <row r="50" spans="2:3" x14ac:dyDescent="0.35">
      <c r="B50" s="9" t="s">
        <v>140</v>
      </c>
      <c r="C50" s="9">
        <v>18</v>
      </c>
    </row>
    <row r="51" spans="2:3" x14ac:dyDescent="0.35">
      <c r="B51" s="9" t="s">
        <v>136</v>
      </c>
      <c r="C51" s="9">
        <v>18</v>
      </c>
    </row>
    <row r="52" spans="2:3" x14ac:dyDescent="0.35">
      <c r="B52" s="9" t="s">
        <v>142</v>
      </c>
      <c r="C52" s="9">
        <v>17</v>
      </c>
    </row>
    <row r="53" spans="2:3" x14ac:dyDescent="0.35">
      <c r="B53" s="9" t="s">
        <v>199</v>
      </c>
      <c r="C53" s="9">
        <v>17</v>
      </c>
    </row>
    <row r="54" spans="2:3" x14ac:dyDescent="0.35">
      <c r="B54" s="9" t="s">
        <v>143</v>
      </c>
      <c r="C54" s="9">
        <v>17</v>
      </c>
    </row>
    <row r="55" spans="2:3" x14ac:dyDescent="0.35">
      <c r="B55" s="9" t="s">
        <v>144</v>
      </c>
      <c r="C55" s="9">
        <v>16</v>
      </c>
    </row>
    <row r="56" spans="2:3" x14ac:dyDescent="0.35">
      <c r="B56" s="9" t="s">
        <v>194</v>
      </c>
      <c r="C56" s="9">
        <v>16</v>
      </c>
    </row>
    <row r="57" spans="2:3" x14ac:dyDescent="0.35">
      <c r="B57" s="9" t="s">
        <v>145</v>
      </c>
      <c r="C57" s="9">
        <v>16</v>
      </c>
    </row>
    <row r="58" spans="2:3" x14ac:dyDescent="0.35">
      <c r="B58" s="9" t="s">
        <v>147</v>
      </c>
      <c r="C58" s="9">
        <v>15</v>
      </c>
    </row>
    <row r="59" spans="2:3" x14ac:dyDescent="0.35">
      <c r="B59" s="9" t="s">
        <v>191</v>
      </c>
      <c r="C59" s="9">
        <v>15</v>
      </c>
    </row>
    <row r="60" spans="2:3" x14ac:dyDescent="0.35">
      <c r="B60" s="9" t="s">
        <v>196</v>
      </c>
      <c r="C60" s="9">
        <v>15</v>
      </c>
    </row>
    <row r="61" spans="2:3" x14ac:dyDescent="0.35">
      <c r="B61" s="9" t="s">
        <v>146</v>
      </c>
      <c r="C61" s="9">
        <v>15</v>
      </c>
    </row>
    <row r="62" spans="2:3" x14ac:dyDescent="0.35">
      <c r="B62" s="9" t="s">
        <v>149</v>
      </c>
      <c r="C62" s="9">
        <v>14</v>
      </c>
    </row>
    <row r="63" spans="2:3" x14ac:dyDescent="0.35">
      <c r="B63" s="9" t="s">
        <v>193</v>
      </c>
      <c r="C63" s="9">
        <v>14</v>
      </c>
    </row>
    <row r="64" spans="2:3" x14ac:dyDescent="0.35">
      <c r="B64" s="9" t="s">
        <v>148</v>
      </c>
      <c r="C64" s="9">
        <v>14</v>
      </c>
    </row>
    <row r="65" spans="2:3" x14ac:dyDescent="0.35">
      <c r="B65" s="9" t="s">
        <v>150</v>
      </c>
      <c r="C65" s="9">
        <v>13</v>
      </c>
    </row>
    <row r="66" spans="2:3" x14ac:dyDescent="0.35">
      <c r="B66" s="9" t="s">
        <v>152</v>
      </c>
      <c r="C66" s="9">
        <v>12</v>
      </c>
    </row>
    <row r="67" spans="2:3" x14ac:dyDescent="0.35">
      <c r="B67" s="9" t="s">
        <v>151</v>
      </c>
      <c r="C67" s="9">
        <v>12</v>
      </c>
    </row>
    <row r="68" spans="2:3" x14ac:dyDescent="0.35">
      <c r="B68" s="9" t="s">
        <v>154</v>
      </c>
      <c r="C68" s="9">
        <v>11</v>
      </c>
    </row>
    <row r="69" spans="2:3" x14ac:dyDescent="0.35">
      <c r="B69" s="9" t="s">
        <v>153</v>
      </c>
      <c r="C69" s="9">
        <v>11</v>
      </c>
    </row>
    <row r="70" spans="2:3" x14ac:dyDescent="0.35">
      <c r="B70" s="9" t="s">
        <v>155</v>
      </c>
      <c r="C70" s="9">
        <v>11</v>
      </c>
    </row>
    <row r="71" spans="2:3" x14ac:dyDescent="0.35">
      <c r="B71" s="9" t="s">
        <v>157</v>
      </c>
      <c r="C71" s="9">
        <v>11</v>
      </c>
    </row>
    <row r="72" spans="2:3" x14ac:dyDescent="0.35">
      <c r="B72" s="9" t="s">
        <v>156</v>
      </c>
      <c r="C72" s="9">
        <v>11</v>
      </c>
    </row>
    <row r="73" spans="2:3" x14ac:dyDescent="0.35">
      <c r="B73" s="9" t="s">
        <v>159</v>
      </c>
      <c r="C73" s="9">
        <v>10</v>
      </c>
    </row>
    <row r="74" spans="2:3" x14ac:dyDescent="0.35">
      <c r="B74" s="9" t="s">
        <v>158</v>
      </c>
      <c r="C74" s="9">
        <v>10</v>
      </c>
    </row>
    <row r="75" spans="2:3" x14ac:dyDescent="0.35">
      <c r="B75" s="9" t="s">
        <v>206</v>
      </c>
      <c r="C75" s="9">
        <v>10</v>
      </c>
    </row>
    <row r="76" spans="2:3" x14ac:dyDescent="0.35">
      <c r="B76" s="9" t="s">
        <v>198</v>
      </c>
      <c r="C76" s="9">
        <v>9</v>
      </c>
    </row>
    <row r="77" spans="2:3" x14ac:dyDescent="0.35">
      <c r="B77" s="9" t="s">
        <v>161</v>
      </c>
      <c r="C77" s="9">
        <v>9</v>
      </c>
    </row>
    <row r="78" spans="2:3" x14ac:dyDescent="0.35">
      <c r="B78" s="9" t="s">
        <v>160</v>
      </c>
      <c r="C78" s="9">
        <v>9</v>
      </c>
    </row>
    <row r="79" spans="2:3" x14ac:dyDescent="0.35">
      <c r="B79" s="9" t="s">
        <v>165</v>
      </c>
      <c r="C79" s="9">
        <v>8</v>
      </c>
    </row>
    <row r="80" spans="2:3" x14ac:dyDescent="0.35">
      <c r="B80" s="9" t="s">
        <v>166</v>
      </c>
      <c r="C80" s="9">
        <v>8</v>
      </c>
    </row>
    <row r="81" spans="2:3" x14ac:dyDescent="0.35">
      <c r="B81" s="9" t="s">
        <v>164</v>
      </c>
      <c r="C81" s="9">
        <v>8</v>
      </c>
    </row>
    <row r="82" spans="2:3" x14ac:dyDescent="0.35">
      <c r="B82" s="9" t="s">
        <v>163</v>
      </c>
      <c r="C82" s="9">
        <v>8</v>
      </c>
    </row>
    <row r="83" spans="2:3" x14ac:dyDescent="0.35">
      <c r="B83" s="9" t="s">
        <v>162</v>
      </c>
      <c r="C83" s="9">
        <v>8</v>
      </c>
    </row>
    <row r="84" spans="2:3" x14ac:dyDescent="0.35">
      <c r="B84" s="9" t="s">
        <v>169</v>
      </c>
      <c r="C84" s="9">
        <v>7</v>
      </c>
    </row>
    <row r="85" spans="2:3" x14ac:dyDescent="0.35">
      <c r="B85" s="9" t="s">
        <v>171</v>
      </c>
      <c r="C85" s="9">
        <v>7</v>
      </c>
    </row>
    <row r="86" spans="2:3" x14ac:dyDescent="0.35">
      <c r="B86" s="9" t="s">
        <v>170</v>
      </c>
      <c r="C86" s="9">
        <v>7</v>
      </c>
    </row>
    <row r="87" spans="2:3" x14ac:dyDescent="0.35">
      <c r="B87" s="9" t="s">
        <v>168</v>
      </c>
      <c r="C87" s="9">
        <v>7</v>
      </c>
    </row>
    <row r="88" spans="2:3" x14ac:dyDescent="0.35">
      <c r="B88" s="9" t="s">
        <v>201</v>
      </c>
      <c r="C88" s="9">
        <v>7</v>
      </c>
    </row>
    <row r="89" spans="2:3" x14ac:dyDescent="0.35">
      <c r="B89" s="9" t="s">
        <v>173</v>
      </c>
      <c r="C89" s="9">
        <v>7</v>
      </c>
    </row>
    <row r="90" spans="2:3" x14ac:dyDescent="0.35">
      <c r="B90" s="9" t="s">
        <v>172</v>
      </c>
      <c r="C90" s="9">
        <v>7</v>
      </c>
    </row>
    <row r="91" spans="2:3" x14ac:dyDescent="0.35">
      <c r="B91" s="9" t="s">
        <v>167</v>
      </c>
      <c r="C91" s="9">
        <v>7</v>
      </c>
    </row>
    <row r="92" spans="2:3" x14ac:dyDescent="0.35">
      <c r="B92" s="9" t="s">
        <v>175</v>
      </c>
      <c r="C92" s="9">
        <v>6</v>
      </c>
    </row>
    <row r="93" spans="2:3" x14ac:dyDescent="0.35">
      <c r="B93" s="9" t="s">
        <v>190</v>
      </c>
      <c r="C93" s="9">
        <v>6</v>
      </c>
    </row>
    <row r="94" spans="2:3" x14ac:dyDescent="0.35">
      <c r="B94" s="9" t="s">
        <v>176</v>
      </c>
      <c r="C94" s="9">
        <v>6</v>
      </c>
    </row>
    <row r="95" spans="2:3" x14ac:dyDescent="0.35">
      <c r="B95" s="9" t="s">
        <v>202</v>
      </c>
      <c r="C95" s="9">
        <v>6</v>
      </c>
    </row>
    <row r="96" spans="2:3" x14ac:dyDescent="0.35">
      <c r="B96" s="9" t="s">
        <v>203</v>
      </c>
      <c r="C96" s="9">
        <v>6</v>
      </c>
    </row>
    <row r="97" spans="2:3" x14ac:dyDescent="0.35">
      <c r="B97" s="9" t="s">
        <v>178</v>
      </c>
      <c r="C97" s="9">
        <v>6</v>
      </c>
    </row>
    <row r="98" spans="2:3" x14ac:dyDescent="0.35">
      <c r="B98" s="9" t="s">
        <v>205</v>
      </c>
      <c r="C98" s="9">
        <v>6</v>
      </c>
    </row>
    <row r="99" spans="2:3" x14ac:dyDescent="0.35">
      <c r="B99" s="9" t="s">
        <v>177</v>
      </c>
      <c r="C99" s="9">
        <v>6</v>
      </c>
    </row>
    <row r="100" spans="2:3" x14ac:dyDescent="0.35">
      <c r="B100" s="9" t="s">
        <v>174</v>
      </c>
      <c r="C100" s="9">
        <v>6</v>
      </c>
    </row>
    <row r="101" spans="2:3" x14ac:dyDescent="0.35">
      <c r="B101" s="9" t="s">
        <v>179</v>
      </c>
      <c r="C101" s="9">
        <v>5</v>
      </c>
    </row>
    <row r="102" spans="2:3" x14ac:dyDescent="0.35">
      <c r="B102" s="9" t="s">
        <v>181</v>
      </c>
      <c r="C102" s="9">
        <v>4</v>
      </c>
    </row>
    <row r="103" spans="2:3" x14ac:dyDescent="0.35">
      <c r="B103" s="9" t="s">
        <v>180</v>
      </c>
      <c r="C103" s="9">
        <v>4</v>
      </c>
    </row>
    <row r="104" spans="2:3" x14ac:dyDescent="0.35">
      <c r="B104" s="9" t="s">
        <v>183</v>
      </c>
      <c r="C104" s="9">
        <v>4</v>
      </c>
    </row>
    <row r="105" spans="2:3" x14ac:dyDescent="0.35">
      <c r="B105" s="9" t="s">
        <v>182</v>
      </c>
      <c r="C105" s="9">
        <v>4</v>
      </c>
    </row>
    <row r="106" spans="2:3" x14ac:dyDescent="0.35">
      <c r="B106" s="9" t="s">
        <v>184</v>
      </c>
      <c r="C106" s="9">
        <v>3</v>
      </c>
    </row>
  </sheetData>
  <mergeCells count="1">
    <mergeCell ref="B2:O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132F-FAF7-464C-B298-D6F8BD4C99B0}">
  <dimension ref="B2:Z32"/>
  <sheetViews>
    <sheetView workbookViewId="0">
      <selection activeCell="K37" sqref="K37"/>
    </sheetView>
  </sheetViews>
  <sheetFormatPr defaultRowHeight="14.5" x14ac:dyDescent="0.35"/>
  <cols>
    <col min="1" max="3" width="8.7265625" style="7"/>
    <col min="4" max="4" width="8.7265625" style="7" customWidth="1"/>
    <col min="5" max="16384" width="8.7265625" style="7"/>
  </cols>
  <sheetData>
    <row r="2" spans="2:26" x14ac:dyDescent="0.35">
      <c r="B2" s="17" t="s">
        <v>230</v>
      </c>
    </row>
    <row r="5" spans="2:26" x14ac:dyDescent="0.35">
      <c r="B5" s="36" t="s">
        <v>219</v>
      </c>
      <c r="C5" s="36" t="s">
        <v>207</v>
      </c>
      <c r="D5" s="36" t="s">
        <v>208</v>
      </c>
      <c r="E5" s="36" t="s">
        <v>209</v>
      </c>
      <c r="F5" s="36" t="s">
        <v>210</v>
      </c>
      <c r="G5" s="36" t="s">
        <v>211</v>
      </c>
      <c r="H5" s="36" t="s">
        <v>212</v>
      </c>
      <c r="I5" s="36" t="s">
        <v>213</v>
      </c>
      <c r="J5" s="36" t="s">
        <v>214</v>
      </c>
      <c r="K5" s="36" t="s">
        <v>215</v>
      </c>
      <c r="L5" s="36" t="s">
        <v>216</v>
      </c>
      <c r="M5" s="36" t="s">
        <v>217</v>
      </c>
      <c r="N5" s="36" t="s">
        <v>218</v>
      </c>
    </row>
    <row r="6" spans="2:26" x14ac:dyDescent="0.35">
      <c r="B6" s="36">
        <v>1855</v>
      </c>
      <c r="C6" s="2">
        <v>7.89</v>
      </c>
      <c r="D6" s="2">
        <v>11.23</v>
      </c>
      <c r="E6" s="2">
        <v>10.94</v>
      </c>
      <c r="F6" s="2">
        <v>13.52</v>
      </c>
      <c r="G6" s="2">
        <v>13.79</v>
      </c>
      <c r="H6" s="2">
        <v>17.25</v>
      </c>
      <c r="I6" s="2">
        <v>20.05</v>
      </c>
      <c r="J6" s="2">
        <v>23.46</v>
      </c>
      <c r="K6" s="2">
        <v>19.13</v>
      </c>
      <c r="L6" s="2">
        <v>15.75</v>
      </c>
      <c r="M6" s="2">
        <v>12.35</v>
      </c>
      <c r="N6" s="2">
        <v>9.9499999999999993</v>
      </c>
    </row>
    <row r="7" spans="2:26" x14ac:dyDescent="0.35">
      <c r="B7" s="36">
        <v>1856</v>
      </c>
      <c r="C7" s="2">
        <v>11.92</v>
      </c>
      <c r="D7" s="2">
        <v>11.39</v>
      </c>
      <c r="E7" s="2">
        <v>13.35</v>
      </c>
      <c r="F7" s="35">
        <v>13.2</v>
      </c>
      <c r="G7" s="2">
        <v>15.57</v>
      </c>
      <c r="H7" s="2">
        <v>20.13</v>
      </c>
      <c r="I7" s="2">
        <v>22.38</v>
      </c>
      <c r="J7" s="2">
        <v>23.41</v>
      </c>
      <c r="K7" s="2">
        <v>20.29</v>
      </c>
      <c r="L7" s="2">
        <v>17.16</v>
      </c>
      <c r="M7" s="2">
        <v>12.45</v>
      </c>
      <c r="N7" s="2">
        <v>10.61</v>
      </c>
    </row>
    <row r="8" spans="2:26" x14ac:dyDescent="0.35">
      <c r="B8" s="36">
        <v>1857</v>
      </c>
      <c r="C8" s="2">
        <v>8.94</v>
      </c>
      <c r="D8" s="2">
        <v>10.29</v>
      </c>
      <c r="E8" s="2">
        <v>12.25</v>
      </c>
      <c r="F8" s="2">
        <v>13.75</v>
      </c>
      <c r="G8" s="2">
        <v>15.39</v>
      </c>
      <c r="H8" s="2">
        <v>19.850000000000001</v>
      </c>
      <c r="I8" s="2">
        <v>23.99</v>
      </c>
      <c r="J8" s="2">
        <v>21.22</v>
      </c>
      <c r="K8" s="2">
        <v>20.88</v>
      </c>
      <c r="L8" s="2">
        <v>17.18</v>
      </c>
      <c r="M8" s="2">
        <v>14.37</v>
      </c>
      <c r="N8" s="2">
        <v>9.82</v>
      </c>
    </row>
    <row r="13" spans="2:26" x14ac:dyDescent="0.35">
      <c r="B13" s="17" t="s">
        <v>226</v>
      </c>
    </row>
    <row r="16" spans="2:26" x14ac:dyDescent="0.35">
      <c r="C16" s="66" t="s">
        <v>220</v>
      </c>
      <c r="D16" s="66"/>
      <c r="E16" s="66" t="s">
        <v>221</v>
      </c>
      <c r="F16" s="66"/>
      <c r="G16" s="66" t="s">
        <v>222</v>
      </c>
      <c r="H16" s="66"/>
      <c r="I16" s="66" t="s">
        <v>210</v>
      </c>
      <c r="J16" s="66"/>
      <c r="K16" s="66" t="s">
        <v>211</v>
      </c>
      <c r="L16" s="66"/>
      <c r="M16" s="66" t="s">
        <v>212</v>
      </c>
      <c r="N16" s="66"/>
      <c r="O16" s="66" t="s">
        <v>213</v>
      </c>
      <c r="P16" s="66"/>
      <c r="Q16" s="66" t="s">
        <v>223</v>
      </c>
      <c r="R16" s="66"/>
      <c r="S16" s="66" t="s">
        <v>0</v>
      </c>
      <c r="T16" s="66"/>
      <c r="U16" s="66" t="s">
        <v>1</v>
      </c>
      <c r="V16" s="66"/>
      <c r="W16" s="66" t="s">
        <v>2</v>
      </c>
      <c r="X16" s="66"/>
      <c r="Y16" s="66" t="s">
        <v>3</v>
      </c>
      <c r="Z16" s="66"/>
    </row>
    <row r="17" spans="2:26" x14ac:dyDescent="0.35">
      <c r="B17" s="36" t="s">
        <v>219</v>
      </c>
      <c r="C17" s="36" t="s">
        <v>224</v>
      </c>
      <c r="D17" s="36" t="s">
        <v>225</v>
      </c>
      <c r="E17" s="36" t="s">
        <v>224</v>
      </c>
      <c r="F17" s="36" t="s">
        <v>225</v>
      </c>
      <c r="G17" s="36" t="s">
        <v>224</v>
      </c>
      <c r="H17" s="36" t="s">
        <v>225</v>
      </c>
      <c r="I17" s="36" t="s">
        <v>224</v>
      </c>
      <c r="J17" s="36" t="s">
        <v>225</v>
      </c>
      <c r="K17" s="36" t="s">
        <v>224</v>
      </c>
      <c r="L17" s="36" t="s">
        <v>225</v>
      </c>
      <c r="M17" s="36" t="s">
        <v>224</v>
      </c>
      <c r="N17" s="36" t="s">
        <v>225</v>
      </c>
      <c r="O17" s="36" t="s">
        <v>224</v>
      </c>
      <c r="P17" s="36" t="s">
        <v>225</v>
      </c>
      <c r="Q17" s="36" t="s">
        <v>224</v>
      </c>
      <c r="R17" s="36" t="s">
        <v>225</v>
      </c>
      <c r="S17" s="36" t="s">
        <v>224</v>
      </c>
      <c r="T17" s="36" t="s">
        <v>225</v>
      </c>
      <c r="U17" s="36" t="s">
        <v>224</v>
      </c>
      <c r="V17" s="36" t="s">
        <v>225</v>
      </c>
      <c r="W17" s="36" t="s">
        <v>224</v>
      </c>
      <c r="X17" s="36" t="s">
        <v>225</v>
      </c>
      <c r="Y17" s="36" t="s">
        <v>224</v>
      </c>
      <c r="Z17" s="36" t="s">
        <v>225</v>
      </c>
    </row>
    <row r="18" spans="2:26" x14ac:dyDescent="0.35">
      <c r="B18" s="36">
        <v>1855</v>
      </c>
      <c r="C18" s="2">
        <v>0.4</v>
      </c>
      <c r="D18" s="2">
        <v>15.2</v>
      </c>
      <c r="E18" s="2">
        <v>4.4000000000000004</v>
      </c>
      <c r="F18" s="2">
        <v>16</v>
      </c>
      <c r="G18" s="2">
        <v>5</v>
      </c>
      <c r="H18" s="2">
        <v>16.100000000000001</v>
      </c>
      <c r="I18" s="2">
        <v>11.5</v>
      </c>
      <c r="J18" s="2">
        <v>19.3</v>
      </c>
      <c r="K18" s="2">
        <v>11.8</v>
      </c>
      <c r="L18" s="2">
        <v>21</v>
      </c>
      <c r="M18" s="2">
        <v>11.8</v>
      </c>
      <c r="N18" s="2">
        <v>27.9</v>
      </c>
      <c r="O18" s="2">
        <v>14</v>
      </c>
      <c r="P18" s="2">
        <v>31.2</v>
      </c>
      <c r="Q18" s="2">
        <v>15.7</v>
      </c>
      <c r="R18" s="2">
        <v>35.9</v>
      </c>
      <c r="S18" s="2">
        <v>13.1</v>
      </c>
      <c r="T18" s="2">
        <v>26.7</v>
      </c>
      <c r="U18" s="2">
        <v>7.5</v>
      </c>
      <c r="V18" s="2">
        <v>22.3</v>
      </c>
      <c r="W18" s="2">
        <v>4.7</v>
      </c>
      <c r="X18" s="2">
        <v>18.5</v>
      </c>
      <c r="Y18" s="2">
        <v>1.6</v>
      </c>
      <c r="Z18" s="2">
        <v>16.8</v>
      </c>
    </row>
    <row r="19" spans="2:26" x14ac:dyDescent="0.35">
      <c r="B19" s="36">
        <v>1856</v>
      </c>
      <c r="C19" s="2">
        <v>5.2</v>
      </c>
      <c r="D19" s="2">
        <v>17.2</v>
      </c>
      <c r="E19" s="2">
        <v>5.2</v>
      </c>
      <c r="F19" s="2">
        <v>17.3</v>
      </c>
      <c r="G19" s="2">
        <v>7.5</v>
      </c>
      <c r="H19" s="2">
        <v>19.899999999999999</v>
      </c>
      <c r="I19" s="2">
        <v>8.6999999999999993</v>
      </c>
      <c r="J19" s="2">
        <v>19.3</v>
      </c>
      <c r="K19" s="2">
        <v>9</v>
      </c>
      <c r="L19" s="2">
        <v>25.5</v>
      </c>
      <c r="M19" s="2">
        <v>11.2</v>
      </c>
      <c r="N19" s="2">
        <v>35.1</v>
      </c>
      <c r="O19" s="2">
        <v>14.6</v>
      </c>
      <c r="P19" s="2">
        <v>33.799999999999997</v>
      </c>
      <c r="Q19" s="2">
        <v>15.6</v>
      </c>
      <c r="R19" s="2">
        <v>37</v>
      </c>
      <c r="S19" s="2">
        <v>10.4</v>
      </c>
      <c r="T19" s="2">
        <v>33.1</v>
      </c>
      <c r="U19" s="2">
        <v>8.1</v>
      </c>
      <c r="V19" s="2">
        <v>24.5</v>
      </c>
      <c r="W19" s="2">
        <v>3.8</v>
      </c>
      <c r="X19" s="2">
        <v>21.1</v>
      </c>
      <c r="Y19" s="2">
        <v>1.2</v>
      </c>
      <c r="Z19" s="2">
        <v>19</v>
      </c>
    </row>
    <row r="20" spans="2:26" x14ac:dyDescent="0.35">
      <c r="B20" s="36">
        <v>1857</v>
      </c>
      <c r="C20" s="2">
        <v>0.9</v>
      </c>
      <c r="D20" s="2">
        <v>15.4</v>
      </c>
      <c r="E20" s="2">
        <v>1.2</v>
      </c>
      <c r="F20" s="2">
        <v>18</v>
      </c>
      <c r="G20" s="2">
        <v>3.8</v>
      </c>
      <c r="H20" s="2">
        <v>22</v>
      </c>
      <c r="I20" s="2">
        <v>4.4000000000000004</v>
      </c>
      <c r="J20" s="2">
        <v>24.7</v>
      </c>
      <c r="K20" s="2">
        <v>7.7</v>
      </c>
      <c r="L20" s="2">
        <v>26.5</v>
      </c>
      <c r="M20" s="2">
        <v>11.2</v>
      </c>
      <c r="N20" s="2">
        <v>32.9</v>
      </c>
      <c r="O20" s="2">
        <v>13.8</v>
      </c>
      <c r="P20" s="2">
        <v>37.5</v>
      </c>
      <c r="Q20" s="2">
        <v>14.6</v>
      </c>
      <c r="R20" s="2">
        <v>31.4</v>
      </c>
      <c r="S20" s="2">
        <v>14</v>
      </c>
      <c r="T20" s="2">
        <v>32.9</v>
      </c>
      <c r="U20" s="2">
        <v>7.4</v>
      </c>
      <c r="V20" s="2">
        <v>27.2</v>
      </c>
      <c r="W20" s="2">
        <v>8</v>
      </c>
      <c r="X20" s="2">
        <v>20.3</v>
      </c>
      <c r="Y20" s="2">
        <v>1.9</v>
      </c>
      <c r="Z20" s="2">
        <v>17.8</v>
      </c>
    </row>
    <row r="25" spans="2:26" x14ac:dyDescent="0.35">
      <c r="B25" s="17" t="s">
        <v>229</v>
      </c>
    </row>
    <row r="26" spans="2:26" x14ac:dyDescent="0.35">
      <c r="B26" s="17" t="s">
        <v>231</v>
      </c>
    </row>
    <row r="28" spans="2:26" x14ac:dyDescent="0.35">
      <c r="C28" s="66" t="s">
        <v>220</v>
      </c>
      <c r="D28" s="66"/>
      <c r="E28" s="66" t="s">
        <v>221</v>
      </c>
      <c r="F28" s="66"/>
      <c r="G28" s="66" t="s">
        <v>222</v>
      </c>
      <c r="H28" s="66"/>
      <c r="I28" s="66" t="s">
        <v>210</v>
      </c>
      <c r="J28" s="66"/>
      <c r="K28" s="66" t="s">
        <v>211</v>
      </c>
      <c r="L28" s="66"/>
      <c r="M28" s="66" t="s">
        <v>212</v>
      </c>
      <c r="N28" s="66"/>
      <c r="O28" s="66" t="s">
        <v>213</v>
      </c>
      <c r="P28" s="66"/>
      <c r="Q28" s="66" t="s">
        <v>223</v>
      </c>
      <c r="R28" s="66"/>
      <c r="S28" s="66" t="s">
        <v>0</v>
      </c>
      <c r="T28" s="66"/>
      <c r="U28" s="66" t="s">
        <v>1</v>
      </c>
      <c r="V28" s="66"/>
      <c r="W28" s="66" t="s">
        <v>2</v>
      </c>
      <c r="X28" s="66"/>
      <c r="Y28" s="66" t="s">
        <v>3</v>
      </c>
      <c r="Z28" s="66"/>
    </row>
    <row r="29" spans="2:26" ht="29" x14ac:dyDescent="0.35">
      <c r="C29" s="19" t="s">
        <v>227</v>
      </c>
      <c r="D29" s="37" t="s">
        <v>228</v>
      </c>
      <c r="E29" s="19" t="s">
        <v>227</v>
      </c>
      <c r="F29" s="37" t="s">
        <v>228</v>
      </c>
      <c r="G29" s="19" t="s">
        <v>227</v>
      </c>
      <c r="H29" s="37" t="s">
        <v>228</v>
      </c>
      <c r="I29" s="19" t="s">
        <v>227</v>
      </c>
      <c r="J29" s="37" t="s">
        <v>228</v>
      </c>
      <c r="K29" s="19" t="s">
        <v>227</v>
      </c>
      <c r="L29" s="37" t="s">
        <v>228</v>
      </c>
      <c r="M29" s="19" t="s">
        <v>227</v>
      </c>
      <c r="N29" s="37" t="s">
        <v>228</v>
      </c>
      <c r="O29" s="19" t="s">
        <v>227</v>
      </c>
      <c r="P29" s="37" t="s">
        <v>228</v>
      </c>
      <c r="Q29" s="19" t="s">
        <v>227</v>
      </c>
      <c r="R29" s="37" t="s">
        <v>228</v>
      </c>
      <c r="S29" s="19" t="s">
        <v>227</v>
      </c>
      <c r="T29" s="37" t="s">
        <v>228</v>
      </c>
      <c r="U29" s="19" t="s">
        <v>227</v>
      </c>
      <c r="V29" s="37" t="s">
        <v>228</v>
      </c>
      <c r="W29" s="19" t="s">
        <v>227</v>
      </c>
      <c r="X29" s="37" t="s">
        <v>228</v>
      </c>
      <c r="Y29" s="19" t="s">
        <v>227</v>
      </c>
      <c r="Z29" s="37" t="s">
        <v>228</v>
      </c>
    </row>
    <row r="30" spans="2:26" x14ac:dyDescent="0.35">
      <c r="B30" s="19">
        <v>1855</v>
      </c>
      <c r="C30" s="2">
        <v>55.9</v>
      </c>
      <c r="D30" s="2">
        <v>11</v>
      </c>
      <c r="E30" s="2">
        <v>217.1</v>
      </c>
      <c r="F30" s="2">
        <v>27</v>
      </c>
      <c r="G30" s="2">
        <v>126.5</v>
      </c>
      <c r="H30" s="2">
        <v>17</v>
      </c>
      <c r="I30" s="2">
        <v>55.6</v>
      </c>
      <c r="J30" s="2">
        <v>13</v>
      </c>
      <c r="K30" s="2">
        <v>90.6</v>
      </c>
      <c r="L30" s="2">
        <v>15</v>
      </c>
      <c r="M30" s="2">
        <v>1.1000000000000001</v>
      </c>
      <c r="N30" s="2">
        <v>4</v>
      </c>
      <c r="O30" s="2">
        <v>13.5</v>
      </c>
      <c r="P30" s="2">
        <v>5</v>
      </c>
      <c r="Q30" s="2">
        <v>0.8</v>
      </c>
      <c r="R30" s="2">
        <v>3</v>
      </c>
      <c r="S30" s="2">
        <v>94.2</v>
      </c>
      <c r="T30" s="2">
        <v>19</v>
      </c>
      <c r="U30" s="2">
        <v>198.5</v>
      </c>
      <c r="V30" s="2">
        <v>25</v>
      </c>
      <c r="W30" s="2">
        <v>69.900000000000006</v>
      </c>
      <c r="X30" s="2">
        <v>15</v>
      </c>
      <c r="Y30" s="2">
        <v>120</v>
      </c>
      <c r="Z30" s="2">
        <v>17</v>
      </c>
    </row>
    <row r="31" spans="2:26" x14ac:dyDescent="0.35">
      <c r="B31" s="19">
        <v>1856</v>
      </c>
      <c r="C31" s="2">
        <v>291.60000000000002</v>
      </c>
      <c r="D31" s="2">
        <v>29</v>
      </c>
      <c r="E31" s="2">
        <v>99.8</v>
      </c>
      <c r="F31" s="2">
        <v>15</v>
      </c>
      <c r="G31" s="2">
        <v>151.9</v>
      </c>
      <c r="H31" s="2">
        <v>21</v>
      </c>
      <c r="I31" s="2">
        <v>131.9</v>
      </c>
      <c r="J31" s="2">
        <v>24</v>
      </c>
      <c r="K31" s="2">
        <v>16.899999999999999</v>
      </c>
      <c r="L31" s="2">
        <v>12</v>
      </c>
      <c r="M31" s="2">
        <v>0</v>
      </c>
      <c r="N31" s="2">
        <v>6</v>
      </c>
      <c r="O31" s="2">
        <v>0</v>
      </c>
      <c r="P31" s="2">
        <v>3</v>
      </c>
      <c r="Q31" s="2">
        <v>8.5</v>
      </c>
      <c r="R31" s="2">
        <v>5</v>
      </c>
      <c r="S31" s="2">
        <v>19.399999999999999</v>
      </c>
      <c r="T31" s="2">
        <v>14</v>
      </c>
      <c r="U31" s="2">
        <v>66.7</v>
      </c>
      <c r="V31" s="2">
        <v>11</v>
      </c>
      <c r="W31" s="2">
        <v>4.2</v>
      </c>
      <c r="X31" s="2">
        <v>5</v>
      </c>
      <c r="Y31" s="2">
        <v>89.3</v>
      </c>
      <c r="Z31" s="2">
        <v>20</v>
      </c>
    </row>
    <row r="32" spans="2:26" x14ac:dyDescent="0.35">
      <c r="B32" s="19">
        <v>1857</v>
      </c>
      <c r="C32" s="2">
        <v>74.400000000000006</v>
      </c>
      <c r="D32" s="2">
        <v>17</v>
      </c>
      <c r="E32" s="2">
        <v>132.19999999999999</v>
      </c>
      <c r="F32" s="2">
        <v>20</v>
      </c>
      <c r="G32" s="2">
        <v>80</v>
      </c>
      <c r="H32" s="2">
        <v>18</v>
      </c>
      <c r="I32" s="2">
        <v>17</v>
      </c>
      <c r="J32" s="2">
        <v>15</v>
      </c>
      <c r="K32" s="2">
        <v>72</v>
      </c>
      <c r="L32" s="2">
        <v>18</v>
      </c>
      <c r="M32" s="2">
        <v>36.4</v>
      </c>
      <c r="N32" s="2">
        <v>11</v>
      </c>
      <c r="O32" s="2">
        <v>0.3</v>
      </c>
      <c r="P32" s="2">
        <v>2</v>
      </c>
      <c r="Q32" s="2">
        <v>34.9</v>
      </c>
      <c r="R32" s="2">
        <v>5</v>
      </c>
      <c r="S32" s="2">
        <v>19.899999999999999</v>
      </c>
      <c r="T32" s="2">
        <v>16</v>
      </c>
      <c r="U32" s="2">
        <v>85.8</v>
      </c>
      <c r="V32" s="2">
        <v>18</v>
      </c>
      <c r="W32" s="2">
        <v>231</v>
      </c>
      <c r="X32" s="2">
        <v>18</v>
      </c>
      <c r="Y32" s="2">
        <v>37.700000000000003</v>
      </c>
      <c r="Z32" s="2">
        <v>4</v>
      </c>
    </row>
  </sheetData>
  <mergeCells count="24">
    <mergeCell ref="Y28:Z28"/>
    <mergeCell ref="C28:D28"/>
    <mergeCell ref="E28:F28"/>
    <mergeCell ref="G28:H28"/>
    <mergeCell ref="I28:J28"/>
    <mergeCell ref="K28:L28"/>
    <mergeCell ref="M28:N28"/>
    <mergeCell ref="O28:P28"/>
    <mergeCell ref="Q28:R28"/>
    <mergeCell ref="S28:T28"/>
    <mergeCell ref="U28:V28"/>
    <mergeCell ref="W28:X28"/>
    <mergeCell ref="Y16:Z16"/>
    <mergeCell ref="C16:D16"/>
    <mergeCell ref="E16:F16"/>
    <mergeCell ref="G16:H16"/>
    <mergeCell ref="I16:J16"/>
    <mergeCell ref="K16:L16"/>
    <mergeCell ref="M16:N16"/>
    <mergeCell ref="O16:P16"/>
    <mergeCell ref="Q16:R16"/>
    <mergeCell ref="S16:T16"/>
    <mergeCell ref="U16:V16"/>
    <mergeCell ref="W16:X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FA69-2017-4771-82B1-33513710C7E0}">
  <dimension ref="B2:N23"/>
  <sheetViews>
    <sheetView workbookViewId="0">
      <selection activeCell="M13" sqref="M13"/>
    </sheetView>
  </sheetViews>
  <sheetFormatPr defaultRowHeight="14.5" x14ac:dyDescent="0.35"/>
  <cols>
    <col min="1" max="1" width="8.7265625" style="7"/>
    <col min="2" max="2" width="10.36328125" style="7" bestFit="1" customWidth="1"/>
    <col min="3" max="11" width="8.7265625" style="7" customWidth="1"/>
    <col min="12" max="14" width="14.90625" style="7" customWidth="1"/>
    <col min="15" max="16384" width="8.7265625" style="7"/>
  </cols>
  <sheetData>
    <row r="2" spans="2:11" x14ac:dyDescent="0.35">
      <c r="B2" s="17" t="s">
        <v>251</v>
      </c>
    </row>
    <row r="4" spans="2:11" x14ac:dyDescent="0.35">
      <c r="C4" s="66" t="s">
        <v>247</v>
      </c>
      <c r="D4" s="66"/>
      <c r="E4" s="66"/>
      <c r="F4" s="66" t="s">
        <v>248</v>
      </c>
      <c r="G4" s="66"/>
      <c r="H4" s="66"/>
      <c r="I4" s="72" t="s">
        <v>249</v>
      </c>
      <c r="J4" s="75"/>
      <c r="K4" s="73"/>
    </row>
    <row r="5" spans="2:11" x14ac:dyDescent="0.35">
      <c r="C5" s="19" t="s">
        <v>18</v>
      </c>
      <c r="D5" s="19" t="s">
        <v>250</v>
      </c>
      <c r="E5" s="19" t="s">
        <v>7</v>
      </c>
      <c r="F5" s="19" t="s">
        <v>18</v>
      </c>
      <c r="G5" s="19" t="s">
        <v>19</v>
      </c>
      <c r="H5" s="44" t="s">
        <v>7</v>
      </c>
      <c r="I5" s="19" t="s">
        <v>18</v>
      </c>
      <c r="J5" s="19" t="s">
        <v>19</v>
      </c>
      <c r="K5" s="19" t="s">
        <v>7</v>
      </c>
    </row>
    <row r="6" spans="2:11" x14ac:dyDescent="0.35">
      <c r="B6" s="19" t="s">
        <v>0</v>
      </c>
      <c r="C6" s="2">
        <v>445</v>
      </c>
      <c r="D6" s="2">
        <v>74</v>
      </c>
      <c r="E6" s="2">
        <v>519</v>
      </c>
      <c r="F6" s="2">
        <v>269</v>
      </c>
      <c r="G6" s="2">
        <v>52</v>
      </c>
      <c r="H6" s="2">
        <v>321</v>
      </c>
      <c r="I6" s="2">
        <v>176</v>
      </c>
      <c r="J6" s="2">
        <v>22</v>
      </c>
      <c r="K6" s="2">
        <v>198</v>
      </c>
    </row>
    <row r="7" spans="2:11" x14ac:dyDescent="0.35">
      <c r="B7" s="19" t="s">
        <v>1</v>
      </c>
      <c r="C7" s="2">
        <v>2059</v>
      </c>
      <c r="D7" s="2">
        <v>548</v>
      </c>
      <c r="E7" s="2">
        <v>2607</v>
      </c>
      <c r="F7" s="2">
        <v>1278</v>
      </c>
      <c r="G7" s="2">
        <v>361</v>
      </c>
      <c r="H7" s="2">
        <v>1639</v>
      </c>
      <c r="I7" s="2">
        <v>781</v>
      </c>
      <c r="J7" s="2">
        <v>187</v>
      </c>
      <c r="K7" s="2">
        <v>968</v>
      </c>
    </row>
    <row r="8" spans="2:11" x14ac:dyDescent="0.35">
      <c r="B8" s="19" t="s">
        <v>2</v>
      </c>
      <c r="C8" s="2">
        <v>1312</v>
      </c>
      <c r="D8" s="2">
        <v>423</v>
      </c>
      <c r="E8" s="2">
        <v>1735</v>
      </c>
      <c r="F8" s="2">
        <v>796</v>
      </c>
      <c r="G8" s="2">
        <v>268</v>
      </c>
      <c r="H8" s="2">
        <v>1064</v>
      </c>
      <c r="I8" s="2">
        <v>516</v>
      </c>
      <c r="J8" s="2">
        <v>155</v>
      </c>
      <c r="K8" s="2">
        <v>671</v>
      </c>
    </row>
    <row r="9" spans="2:11" x14ac:dyDescent="0.35">
      <c r="B9" s="19" t="s">
        <v>3</v>
      </c>
      <c r="C9" s="2">
        <v>227</v>
      </c>
      <c r="D9" s="2">
        <v>73</v>
      </c>
      <c r="E9" s="2">
        <v>300</v>
      </c>
      <c r="F9" s="2">
        <v>156</v>
      </c>
      <c r="G9" s="2">
        <v>49</v>
      </c>
      <c r="H9" s="2">
        <v>205</v>
      </c>
      <c r="I9" s="2">
        <v>71</v>
      </c>
      <c r="J9" s="2">
        <v>24</v>
      </c>
      <c r="K9" s="2">
        <v>95</v>
      </c>
    </row>
    <row r="10" spans="2:11" x14ac:dyDescent="0.35">
      <c r="B10" s="19" t="s">
        <v>7</v>
      </c>
      <c r="C10" s="2">
        <f>SUM(C6:C9)</f>
        <v>4043</v>
      </c>
      <c r="D10" s="2">
        <f>SUM(D6:D9)</f>
        <v>1118</v>
      </c>
      <c r="E10" s="2">
        <f>SUM(E6:E9)</f>
        <v>5161</v>
      </c>
      <c r="F10" s="2">
        <f>SUM(F6:F9)</f>
        <v>2499</v>
      </c>
      <c r="G10" s="2">
        <v>730</v>
      </c>
      <c r="H10" s="2">
        <f>SUM(H6:H9)</f>
        <v>3229</v>
      </c>
      <c r="I10" s="2">
        <f>SUM(I6:I9)</f>
        <v>1544</v>
      </c>
      <c r="J10" s="2">
        <f>SUM(J6:J9)</f>
        <v>388</v>
      </c>
      <c r="K10" s="2">
        <f>SUM(K6:K9)</f>
        <v>1932</v>
      </c>
    </row>
    <row r="16" spans="2:11" x14ac:dyDescent="0.35">
      <c r="B16" s="17" t="s">
        <v>259</v>
      </c>
    </row>
    <row r="18" spans="2:14" x14ac:dyDescent="0.35">
      <c r="B18"/>
      <c r="C18" s="66" t="s">
        <v>253</v>
      </c>
      <c r="D18" s="66"/>
      <c r="E18" s="66"/>
      <c r="F18" s="66" t="s">
        <v>254</v>
      </c>
      <c r="G18" s="66"/>
      <c r="H18" s="66"/>
      <c r="I18" s="66" t="s">
        <v>255</v>
      </c>
      <c r="J18" s="66"/>
      <c r="K18" s="66"/>
      <c r="L18" s="16"/>
      <c r="M18" s="16"/>
      <c r="N18" s="16"/>
    </row>
    <row r="19" spans="2:14" x14ac:dyDescent="0.35">
      <c r="C19" s="19" t="s">
        <v>85</v>
      </c>
      <c r="D19" s="19" t="s">
        <v>19</v>
      </c>
      <c r="E19" s="19" t="s">
        <v>7</v>
      </c>
      <c r="F19" s="19" t="s">
        <v>85</v>
      </c>
      <c r="G19" s="19" t="s">
        <v>19</v>
      </c>
      <c r="H19" s="19" t="s">
        <v>7</v>
      </c>
      <c r="I19" s="19" t="s">
        <v>18</v>
      </c>
      <c r="J19" s="19" t="s">
        <v>19</v>
      </c>
      <c r="K19" s="19" t="s">
        <v>7</v>
      </c>
      <c r="L19" s="19" t="s">
        <v>256</v>
      </c>
      <c r="M19" s="19" t="s">
        <v>257</v>
      </c>
      <c r="N19" s="19" t="s">
        <v>258</v>
      </c>
    </row>
    <row r="20" spans="2:14" x14ac:dyDescent="0.35">
      <c r="B20" s="44" t="s">
        <v>0</v>
      </c>
      <c r="C20" s="2">
        <v>20.2</v>
      </c>
      <c r="D20" s="2">
        <v>3.3</v>
      </c>
      <c r="E20" s="2">
        <v>23.5</v>
      </c>
      <c r="F20" s="2">
        <v>12.2</v>
      </c>
      <c r="G20" s="2">
        <v>2.2999999999999998</v>
      </c>
      <c r="H20" s="2">
        <v>14.5</v>
      </c>
      <c r="I20" s="2">
        <v>8</v>
      </c>
      <c r="J20" s="2">
        <v>1</v>
      </c>
      <c r="K20" s="2">
        <v>9</v>
      </c>
      <c r="L20" s="2">
        <v>67</v>
      </c>
      <c r="M20" s="2">
        <v>3</v>
      </c>
      <c r="N20" s="2">
        <v>6.7</v>
      </c>
    </row>
    <row r="21" spans="2:14" x14ac:dyDescent="0.35">
      <c r="B21" s="44" t="s">
        <v>1</v>
      </c>
      <c r="C21" s="2">
        <v>66.41</v>
      </c>
      <c r="D21" s="2">
        <v>17.68</v>
      </c>
      <c r="E21" s="2">
        <v>84.09</v>
      </c>
      <c r="F21" s="2">
        <v>41.22</v>
      </c>
      <c r="G21" s="2">
        <v>11.64</v>
      </c>
      <c r="H21" s="2">
        <v>52.86</v>
      </c>
      <c r="I21" s="2">
        <v>25.19</v>
      </c>
      <c r="J21" s="2">
        <v>6.03</v>
      </c>
      <c r="K21" s="2">
        <v>31.22</v>
      </c>
      <c r="L21" s="2">
        <v>130</v>
      </c>
      <c r="M21" s="2">
        <v>55</v>
      </c>
      <c r="N21" s="2">
        <v>5.54</v>
      </c>
    </row>
    <row r="22" spans="2:14" x14ac:dyDescent="0.35">
      <c r="B22" s="44" t="s">
        <v>2</v>
      </c>
      <c r="C22" s="2">
        <v>43.7</v>
      </c>
      <c r="D22" s="2">
        <v>14.1</v>
      </c>
      <c r="E22" s="2">
        <v>57.8</v>
      </c>
      <c r="F22" s="2">
        <v>26.5</v>
      </c>
      <c r="G22" s="2">
        <v>8.9</v>
      </c>
      <c r="H22" s="2">
        <v>35.4</v>
      </c>
      <c r="I22" s="2">
        <v>17.2</v>
      </c>
      <c r="J22" s="2">
        <v>5.0999999999999996</v>
      </c>
      <c r="K22" s="2">
        <v>22.3</v>
      </c>
      <c r="L22" s="2">
        <v>85</v>
      </c>
      <c r="M22" s="2">
        <v>27</v>
      </c>
      <c r="N22" s="2">
        <v>6.9</v>
      </c>
    </row>
    <row r="23" spans="2:14" x14ac:dyDescent="0.35">
      <c r="B23" s="44" t="s">
        <v>3</v>
      </c>
      <c r="C23" s="2">
        <v>9.5</v>
      </c>
      <c r="D23" s="2">
        <v>3</v>
      </c>
      <c r="E23" s="2">
        <v>12.5</v>
      </c>
      <c r="F23" s="2">
        <v>6.5</v>
      </c>
      <c r="G23" s="2">
        <v>2</v>
      </c>
      <c r="H23" s="2">
        <v>8.5</v>
      </c>
      <c r="I23" s="2">
        <v>2.9</v>
      </c>
      <c r="J23" s="2">
        <v>1</v>
      </c>
      <c r="K23" s="2">
        <v>3.9</v>
      </c>
      <c r="L23" s="2">
        <v>23</v>
      </c>
      <c r="M23" s="2">
        <v>2</v>
      </c>
      <c r="N23" s="2">
        <v>6.6</v>
      </c>
    </row>
  </sheetData>
  <mergeCells count="6">
    <mergeCell ref="C18:E18"/>
    <mergeCell ref="F18:H18"/>
    <mergeCell ref="I18:K18"/>
    <mergeCell ref="C4:E4"/>
    <mergeCell ref="F4:H4"/>
    <mergeCell ref="I4:K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A071-406B-48DA-9BE3-1F666C48241C}">
  <dimension ref="B2:L9"/>
  <sheetViews>
    <sheetView workbookViewId="0">
      <selection activeCell="C2" sqref="C2"/>
    </sheetView>
  </sheetViews>
  <sheetFormatPr defaultRowHeight="14.5" x14ac:dyDescent="0.35"/>
  <cols>
    <col min="1" max="1" width="8.7265625" style="7"/>
    <col min="2" max="2" width="23.81640625" style="7" bestFit="1" customWidth="1"/>
    <col min="3" max="11" width="8.7265625" style="7"/>
    <col min="12" max="12" width="12.81640625" style="7" bestFit="1" customWidth="1"/>
    <col min="13" max="16384" width="8.7265625" style="7"/>
  </cols>
  <sheetData>
    <row r="2" spans="2:12" x14ac:dyDescent="0.35">
      <c r="B2" s="17" t="s">
        <v>269</v>
      </c>
    </row>
    <row r="4" spans="2:12" x14ac:dyDescent="0.35">
      <c r="C4" s="66" t="s">
        <v>18</v>
      </c>
      <c r="D4" s="66"/>
      <c r="E4" s="66"/>
      <c r="F4" s="66" t="s">
        <v>19</v>
      </c>
      <c r="G4" s="66"/>
      <c r="H4" s="66"/>
      <c r="I4" s="66" t="s">
        <v>51</v>
      </c>
      <c r="J4" s="66"/>
      <c r="K4" s="66"/>
      <c r="L4" s="19"/>
    </row>
    <row r="5" spans="2:12" x14ac:dyDescent="0.35">
      <c r="B5" s="44" t="s">
        <v>260</v>
      </c>
      <c r="C5" s="19" t="s">
        <v>248</v>
      </c>
      <c r="D5" s="19" t="s">
        <v>261</v>
      </c>
      <c r="E5" s="19" t="s">
        <v>7</v>
      </c>
      <c r="F5" s="19" t="s">
        <v>248</v>
      </c>
      <c r="G5" s="19" t="s">
        <v>261</v>
      </c>
      <c r="H5" s="19" t="s">
        <v>7</v>
      </c>
      <c r="I5" s="19" t="s">
        <v>248</v>
      </c>
      <c r="J5" s="19" t="s">
        <v>261</v>
      </c>
      <c r="K5" s="19" t="s">
        <v>7</v>
      </c>
      <c r="L5" s="19" t="s">
        <v>262</v>
      </c>
    </row>
    <row r="6" spans="2:12" x14ac:dyDescent="0.35">
      <c r="B6" s="44" t="s">
        <v>263</v>
      </c>
      <c r="C6" s="2">
        <v>619</v>
      </c>
      <c r="D6" s="2">
        <v>276</v>
      </c>
      <c r="E6" s="2">
        <v>895</v>
      </c>
      <c r="F6" s="2">
        <v>222</v>
      </c>
      <c r="G6" s="2">
        <v>75</v>
      </c>
      <c r="H6" s="2">
        <v>297</v>
      </c>
      <c r="I6" s="2">
        <v>841</v>
      </c>
      <c r="J6" s="2">
        <v>351</v>
      </c>
      <c r="K6" s="2">
        <v>1192</v>
      </c>
      <c r="L6" s="26" t="s">
        <v>264</v>
      </c>
    </row>
    <row r="7" spans="2:12" x14ac:dyDescent="0.35">
      <c r="B7" s="44" t="s">
        <v>265</v>
      </c>
      <c r="C7" s="2">
        <v>995</v>
      </c>
      <c r="D7" s="2">
        <v>657</v>
      </c>
      <c r="E7" s="2">
        <v>1652</v>
      </c>
      <c r="F7" s="2">
        <v>419</v>
      </c>
      <c r="G7" s="2">
        <v>237</v>
      </c>
      <c r="H7" s="2">
        <v>656</v>
      </c>
      <c r="I7" s="2">
        <v>1414</v>
      </c>
      <c r="J7" s="2">
        <v>894</v>
      </c>
      <c r="K7" s="2">
        <v>2308</v>
      </c>
      <c r="L7" s="26" t="s">
        <v>266</v>
      </c>
    </row>
    <row r="8" spans="2:12" x14ac:dyDescent="0.35">
      <c r="B8" s="44" t="s">
        <v>267</v>
      </c>
      <c r="C8" s="2">
        <v>885</v>
      </c>
      <c r="D8" s="2">
        <v>611</v>
      </c>
      <c r="E8" s="2">
        <v>1496</v>
      </c>
      <c r="F8" s="2">
        <v>89</v>
      </c>
      <c r="G8" s="2">
        <v>76</v>
      </c>
      <c r="H8" s="2">
        <v>165</v>
      </c>
      <c r="I8" s="2">
        <v>974</v>
      </c>
      <c r="J8" s="2">
        <v>687</v>
      </c>
      <c r="K8" s="2">
        <v>1661</v>
      </c>
    </row>
    <row r="9" spans="2:12" x14ac:dyDescent="0.35">
      <c r="B9" s="19" t="s">
        <v>7</v>
      </c>
      <c r="C9" s="2">
        <v>2499</v>
      </c>
      <c r="D9" s="2">
        <v>1544</v>
      </c>
      <c r="E9" s="2">
        <v>4043</v>
      </c>
      <c r="F9" s="2">
        <v>730</v>
      </c>
      <c r="G9" s="2">
        <v>388</v>
      </c>
      <c r="H9" s="2">
        <v>1118</v>
      </c>
      <c r="I9" s="2">
        <v>3229</v>
      </c>
      <c r="J9" s="2">
        <v>1932</v>
      </c>
      <c r="K9" s="2">
        <v>5161</v>
      </c>
    </row>
  </sheetData>
  <mergeCells count="3">
    <mergeCell ref="C4:E4"/>
    <mergeCell ref="F4:H4"/>
    <mergeCell ref="I4:K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AF1ED-4843-43AD-934F-5689CC7C49F5}">
  <dimension ref="B2:I10"/>
  <sheetViews>
    <sheetView workbookViewId="0">
      <selection activeCell="D17" sqref="D17"/>
    </sheetView>
  </sheetViews>
  <sheetFormatPr defaultRowHeight="14.5" x14ac:dyDescent="0.35"/>
  <cols>
    <col min="1" max="1" width="8.7265625" style="7"/>
    <col min="2" max="2" width="15.26953125" style="7" bestFit="1" customWidth="1"/>
    <col min="3" max="8" width="8.7265625" style="7"/>
    <col min="9" max="9" width="18" style="7" customWidth="1"/>
    <col min="10" max="16384" width="8.7265625" style="7"/>
  </cols>
  <sheetData>
    <row r="2" spans="2:9" x14ac:dyDescent="0.35">
      <c r="B2" s="17" t="s">
        <v>251</v>
      </c>
    </row>
    <row r="4" spans="2:9" x14ac:dyDescent="0.35">
      <c r="B4"/>
      <c r="C4" s="66" t="s">
        <v>274</v>
      </c>
      <c r="D4" s="66"/>
      <c r="E4" s="66"/>
      <c r="F4" s="66" t="s">
        <v>275</v>
      </c>
      <c r="G4" s="66"/>
      <c r="H4" s="66"/>
      <c r="I4"/>
    </row>
    <row r="5" spans="2:9" ht="32" customHeight="1" x14ac:dyDescent="0.35">
      <c r="B5" s="19" t="s">
        <v>271</v>
      </c>
      <c r="C5" s="19" t="s">
        <v>18</v>
      </c>
      <c r="D5" s="19" t="s">
        <v>19</v>
      </c>
      <c r="E5" s="19" t="s">
        <v>7</v>
      </c>
      <c r="F5" s="19" t="s">
        <v>85</v>
      </c>
      <c r="G5" s="19" t="s">
        <v>19</v>
      </c>
      <c r="H5" s="19" t="s">
        <v>7</v>
      </c>
      <c r="I5" s="37" t="s">
        <v>273</v>
      </c>
    </row>
    <row r="6" spans="2:9" x14ac:dyDescent="0.35">
      <c r="B6" s="19" t="s">
        <v>272</v>
      </c>
      <c r="C6" s="2">
        <v>764</v>
      </c>
      <c r="D6" s="2">
        <v>512</v>
      </c>
      <c r="E6" s="2">
        <v>1276</v>
      </c>
      <c r="F6" s="2">
        <v>547</v>
      </c>
      <c r="G6" s="2">
        <v>159</v>
      </c>
      <c r="H6" s="2">
        <v>706</v>
      </c>
      <c r="I6" s="2">
        <v>1982</v>
      </c>
    </row>
    <row r="7" spans="2:9" x14ac:dyDescent="0.35">
      <c r="B7" s="19" t="s">
        <v>63</v>
      </c>
      <c r="C7" s="2">
        <v>658</v>
      </c>
      <c r="D7" s="2">
        <v>494</v>
      </c>
      <c r="E7" s="2">
        <v>1152</v>
      </c>
      <c r="F7" s="2">
        <v>525</v>
      </c>
      <c r="G7" s="2">
        <v>104</v>
      </c>
      <c r="H7" s="2">
        <v>629</v>
      </c>
      <c r="I7" s="2">
        <v>1781</v>
      </c>
    </row>
    <row r="8" spans="2:9" x14ac:dyDescent="0.35">
      <c r="B8" s="19" t="s">
        <v>74</v>
      </c>
      <c r="C8" s="2">
        <v>345</v>
      </c>
      <c r="D8" s="2">
        <v>227</v>
      </c>
      <c r="E8" s="2">
        <v>572</v>
      </c>
      <c r="F8" s="2">
        <v>203</v>
      </c>
      <c r="G8" s="2">
        <v>53</v>
      </c>
      <c r="H8" s="2">
        <v>256</v>
      </c>
      <c r="I8" s="2">
        <v>828</v>
      </c>
    </row>
    <row r="9" spans="2:9" x14ac:dyDescent="0.35">
      <c r="B9" s="19" t="s">
        <v>69</v>
      </c>
      <c r="C9" s="2">
        <v>294</v>
      </c>
      <c r="D9" s="2">
        <v>172</v>
      </c>
      <c r="E9" s="2">
        <v>466</v>
      </c>
      <c r="F9" s="2">
        <v>192</v>
      </c>
      <c r="G9" s="2">
        <v>58</v>
      </c>
      <c r="H9" s="2">
        <v>250</v>
      </c>
      <c r="I9" s="2">
        <v>716</v>
      </c>
    </row>
    <row r="10" spans="2:9" x14ac:dyDescent="0.35">
      <c r="B10" s="19" t="s">
        <v>7</v>
      </c>
      <c r="C10" s="2">
        <v>2061</v>
      </c>
      <c r="D10" s="2">
        <v>1405</v>
      </c>
      <c r="E10" s="2">
        <v>3466</v>
      </c>
      <c r="F10" s="2">
        <v>1467</v>
      </c>
      <c r="G10" s="2">
        <v>374</v>
      </c>
      <c r="H10" s="2">
        <v>1841</v>
      </c>
      <c r="I10" s="2">
        <v>5307</v>
      </c>
    </row>
  </sheetData>
  <mergeCells count="2">
    <mergeCell ref="C4:E4"/>
    <mergeCell ref="F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No. Cases 15_09 - 31_12</vt:lpstr>
      <vt:lpstr>Fatalities by Age and Sex</vt:lpstr>
      <vt:lpstr>Fatalities - Parishes</vt:lpstr>
      <vt:lpstr>Populations - Parishes</vt:lpstr>
      <vt:lpstr>Populations - Neighbourhoods</vt:lpstr>
      <vt:lpstr>Fatalities - Occupation Groups</vt:lpstr>
      <vt:lpstr>Fatalities - Streets</vt:lpstr>
      <vt:lpstr>Temperature &amp; Precipitation</vt:lpstr>
      <vt:lpstr>YF Hospital Clinical Movement</vt:lpstr>
      <vt:lpstr>Vaccination Status</vt:lpstr>
      <vt:lpstr>Fatalities - Location and Sex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dc:creator>
  <cp:lastModifiedBy>Isaac Bates</cp:lastModifiedBy>
  <dcterms:created xsi:type="dcterms:W3CDTF">2026-01-15T20:32:47Z</dcterms:created>
  <dcterms:modified xsi:type="dcterms:W3CDTF">2026-01-18T18:45:25Z</dcterms:modified>
</cp:coreProperties>
</file>